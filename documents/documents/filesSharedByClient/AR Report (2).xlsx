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queline\Downloads\"/>
    </mc:Choice>
  </mc:AlternateContent>
  <xr:revisionPtr revIDLastSave="0" documentId="13_ncr:1_{8D0A97BB-03E5-49EE-B881-061D2CAFEA5D}" xr6:coauthVersionLast="47" xr6:coauthVersionMax="47" xr10:uidLastSave="{00000000-0000-0000-0000-000000000000}"/>
  <bookViews>
    <workbookView xWindow="-120" yWindow="-120" windowWidth="29040" windowHeight="15720" activeTab="3" xr2:uid="{68A561A6-30BE-4A89-826A-DFAF748C2C5B}"/>
  </bookViews>
  <sheets>
    <sheet name="JPD1" sheetId="2" r:id="rId1"/>
    <sheet name="JPD2" sheetId="3" r:id="rId2"/>
    <sheet name="BSD" sheetId="1" r:id="rId3"/>
    <sheet name="LEO" sheetId="4" r:id="rId4"/>
  </sheets>
  <definedNames>
    <definedName name="_xlnm._FilterDatabase" localSheetId="0" hidden="1">'JPD1'!$A$5:$I$18</definedName>
    <definedName name="_xlnm._FilterDatabase" localSheetId="1" hidden="1">'JPD2'!$A$5:$I$11</definedName>
    <definedName name="_xlnm._FilterDatabase" localSheetId="3" hidden="1">LEO!$A$5:$I$11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7" i="4" l="1"/>
  <c r="H18" i="4"/>
  <c r="H19" i="4"/>
  <c r="H16" i="4"/>
  <c r="H7" i="4"/>
  <c r="H8" i="4"/>
  <c r="H9" i="4"/>
  <c r="H10" i="4"/>
  <c r="H11" i="4"/>
  <c r="H6" i="4"/>
  <c r="D14" i="1"/>
  <c r="E14" i="1"/>
  <c r="F14" i="1"/>
  <c r="G14" i="1"/>
  <c r="C14" i="1"/>
  <c r="H24" i="2"/>
  <c r="H25" i="2"/>
  <c r="H26" i="2"/>
  <c r="H27" i="2"/>
  <c r="H28" i="2"/>
  <c r="H23" i="2"/>
  <c r="H7" i="2"/>
  <c r="H8" i="2"/>
  <c r="H9" i="2"/>
  <c r="H10" i="2"/>
  <c r="H11" i="2"/>
  <c r="H12" i="2"/>
  <c r="H13" i="2"/>
  <c r="H14" i="2"/>
  <c r="H15" i="2"/>
  <c r="H16" i="2"/>
  <c r="H17" i="2"/>
  <c r="H18" i="2"/>
  <c r="H6" i="2"/>
  <c r="D12" i="3"/>
  <c r="E12" i="3"/>
  <c r="F12" i="3"/>
  <c r="G12" i="3"/>
  <c r="C12" i="3"/>
  <c r="G23" i="3"/>
  <c r="F23" i="3"/>
  <c r="D23" i="3"/>
  <c r="C23" i="3"/>
  <c r="H17" i="3"/>
  <c r="H18" i="3"/>
  <c r="H19" i="3"/>
  <c r="H20" i="3"/>
  <c r="H21" i="3"/>
  <c r="H22" i="3"/>
  <c r="H16" i="3"/>
  <c r="H7" i="3"/>
  <c r="H8" i="3"/>
  <c r="H9" i="3"/>
  <c r="H10" i="3"/>
  <c r="H11" i="3"/>
  <c r="H6" i="3"/>
  <c r="H20" i="4" l="1"/>
  <c r="G20" i="4"/>
  <c r="F20" i="4"/>
  <c r="E20" i="4"/>
  <c r="D20" i="4"/>
  <c r="C20" i="4"/>
  <c r="H12" i="4"/>
  <c r="G12" i="4"/>
  <c r="F12" i="4"/>
  <c r="E12" i="4"/>
  <c r="D12" i="4"/>
  <c r="C12" i="4"/>
  <c r="H23" i="3"/>
  <c r="E23" i="3"/>
  <c r="H12" i="3"/>
  <c r="H29" i="2"/>
  <c r="G29" i="2"/>
  <c r="F29" i="2"/>
  <c r="E29" i="2"/>
  <c r="D29" i="2"/>
  <c r="C29" i="2"/>
  <c r="H19" i="2"/>
  <c r="G19" i="2"/>
  <c r="F19" i="2"/>
  <c r="E19" i="2"/>
  <c r="D19" i="2"/>
  <c r="C19" i="2"/>
  <c r="H13" i="1" l="1"/>
  <c r="H7" i="1"/>
  <c r="H8" i="1"/>
  <c r="H9" i="1"/>
  <c r="H10" i="1"/>
  <c r="H11" i="1"/>
  <c r="H12" i="1"/>
  <c r="H6" i="1"/>
  <c r="H14" i="1" s="1"/>
  <c r="H21" i="1"/>
  <c r="G21" i="1"/>
  <c r="F21" i="1"/>
  <c r="E21" i="1"/>
  <c r="D21" i="1"/>
  <c r="C21" i="1"/>
</calcChain>
</file>

<file path=xl/sharedStrings.xml><?xml version="1.0" encoding="utf-8"?>
<sst xmlns="http://schemas.openxmlformats.org/spreadsheetml/2006/main" count="196" uniqueCount="73">
  <si>
    <t>Mini Environment Service Pte Ltd</t>
  </si>
  <si>
    <t>Consol : Mini Environment Service Pte Ltd : KT Mesdorm Pte Ltd</t>
  </si>
  <si>
    <t>As of 25 May 2026</t>
  </si>
  <si>
    <t>Company Name</t>
  </si>
  <si>
    <t>Status</t>
  </si>
  <si>
    <t>Current</t>
  </si>
  <si>
    <t>30 days</t>
  </si>
  <si>
    <t>60 days</t>
  </si>
  <si>
    <t>90 days</t>
  </si>
  <si>
    <t>More than 90 days</t>
  </si>
  <si>
    <t>Grand Total</t>
  </si>
  <si>
    <t>Live</t>
  </si>
  <si>
    <t>DORM-1659 SALSAGOFF ENGINEERING PTE. LTD.</t>
  </si>
  <si>
    <t>Terminated</t>
  </si>
  <si>
    <t>DORM-63 APPLE PTE. LTD.</t>
  </si>
  <si>
    <t>DORM-1224 SUNNY MAY PTE. LTD.</t>
  </si>
  <si>
    <t>DORM-244 CAMPBELL PTE. LTD.</t>
  </si>
  <si>
    <t>DORM-1451 CHINA SEA PTE LTD</t>
  </si>
  <si>
    <t>DORM-415 OKINAWAN PTE. LTD.</t>
  </si>
  <si>
    <t>DORM-932 NEW YORK MARINE PTE. LTD.</t>
  </si>
  <si>
    <t>DORM-117 LEMMINGWAY PTE. LTD.</t>
  </si>
  <si>
    <t>DORM-765 LYCRA PTE. LTD.</t>
  </si>
  <si>
    <t>Consol : Mini Environment Service Pte Ltd : MES &amp; JPD Housing Pte Ltd</t>
  </si>
  <si>
    <t>Update</t>
  </si>
  <si>
    <t>Payment by end of this week</t>
  </si>
  <si>
    <t>Payment by 29.05.26</t>
  </si>
  <si>
    <t>Offset SD</t>
  </si>
  <si>
    <t>Payemnt by 27.05.26</t>
  </si>
  <si>
    <t>DORM-1647 TAXATION PRIVATE LIMITED</t>
  </si>
  <si>
    <t>DORM-1369 VERIFICATION PTE. LTD.</t>
  </si>
  <si>
    <t>DORM-1236 SKIBIDI PTE. LTD.</t>
  </si>
  <si>
    <t>DORM-641 GOBLIN MODE PTE LTD</t>
  </si>
  <si>
    <t>DORM-893 MULTIMILLION PTE LTD</t>
  </si>
  <si>
    <t>DORM-1561 SNEAKY TOASTER PTE LTD</t>
  </si>
  <si>
    <t>DORM-1656 KEYBOARD GOBLIN PTE. LTD.</t>
  </si>
  <si>
    <t>DORM-1235 CONTROL GLOBAL PTE. LTD.</t>
  </si>
  <si>
    <t>DORM-1584 CROISSANT PTE. LTD.</t>
  </si>
  <si>
    <t>Consol : Mini Environment Service Pte Ltd</t>
  </si>
  <si>
    <t>Consol : Mini Environment Service Pte Ltd : Kaki Bukit Developments Pte Ltd</t>
  </si>
  <si>
    <t/>
  </si>
  <si>
    <t>DORM-144 INSTAGRAM PTE. LTD.</t>
  </si>
  <si>
    <t>DORM-489 GEMINI PTE. LTD.</t>
  </si>
  <si>
    <t>DORM-166 BURNING SUN PTE. LTD.</t>
  </si>
  <si>
    <t>DORM-1220 SOVEREIGN PTE. LTD.</t>
  </si>
  <si>
    <t>DORM-1660 YOUTUBE PTE. LTD.</t>
  </si>
  <si>
    <t>DORM-830 TELEGRAM PTE. LTD.</t>
  </si>
  <si>
    <t>DORM-1430 HAPPY HAPPY PTE LTD</t>
  </si>
  <si>
    <t>DORM-614 JOLLY JOLLY PTE LTD</t>
  </si>
  <si>
    <t>DORM-211 WELL COME  PTE LTD</t>
  </si>
  <si>
    <t>DORM-1600 MODERN WELLNESS PTE. LTD.</t>
  </si>
  <si>
    <t>DORM-1571 ZUMBA PTE. LTD.</t>
  </si>
  <si>
    <t>DORM-1661 VIVACIOUS PTE. LTD.</t>
  </si>
  <si>
    <t>DORM-1596 HAWAIIAN PTE. LTD.</t>
  </si>
  <si>
    <t>DORM-1030 CRACKERS PTE LTD</t>
  </si>
  <si>
    <t>DORM-1443 WIND BLOW</t>
  </si>
  <si>
    <t>DORM-979 PIANO TECHNICIAN PTE. LTD.</t>
  </si>
  <si>
    <t>DORM-187 CELLO LOVER PTE LTD</t>
  </si>
  <si>
    <t>DORM-1119 SYMPHONY PTE LTD</t>
  </si>
  <si>
    <t>DORM-408 HARMONICA (S) PTE. LTD.</t>
  </si>
  <si>
    <t>DORM-1578 GUITAR PTE. LTD.</t>
  </si>
  <si>
    <t>DORM-910 CANNONITE PTE. LTD.</t>
  </si>
  <si>
    <t>DORM-380 MOTORIST PTE. LTD.</t>
  </si>
  <si>
    <t>DORM-144 ABRAHAM LINCOLN PTE. LTD.</t>
  </si>
  <si>
    <t>DORM-1836 WINSTON CHURCHILL PTE. LTD.</t>
  </si>
  <si>
    <t>DORM-165 GEORGE WASHINGTON PTE. LTD.</t>
  </si>
  <si>
    <t>DORM-1364 THEODORE ROOSEVELT PTE. LTD.</t>
  </si>
  <si>
    <t>DORM-1744 THOMAS EDISON PTE. LTD.</t>
  </si>
  <si>
    <t>DORM-249 BILL CLINTON PTE. LTD.</t>
  </si>
  <si>
    <t>DORM-1330 UMBRA PTE. LTD.</t>
  </si>
  <si>
    <t>DORM-707 ORION PTE. LTD.</t>
  </si>
  <si>
    <t>DORM-108 NIGHTFALL PTE LTD</t>
  </si>
  <si>
    <t>DORM-1742 MOONBEAM  PTE. LTD.</t>
  </si>
  <si>
    <t>DORM-87 SUNNY ECLIPSE PTE.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</si>
</sst>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8"/>
      <name val="Arial"/>
    </font>
    <font>
      <b/>
      <sz val="12"/>
      <name val="Arial"/>
    </font>
    <font>
      <b/>
      <sz val="14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8">
    <xf numFmtId="0" fontId="0" fillId="0" borderId="0" xfId="0"/>
    <xf numFmtId="0" fontId="3" fillId="0" borderId="0" xfId="0" applyFont="1"/>
    <xf numFmtId="43" fontId="3" fillId="0" borderId="0" xfId="1" applyFont="1"/>
    <xf numFmtId="0" fontId="3" fillId="0" borderId="0" xfId="2" applyFont="1"/>
    <xf numFmtId="0" fontId="6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Normal 2" xfId="2" xr:uid="{C8F157C5-A306-4CB0-A0D4-4381ABFA78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65951-CB23-4C0C-A2E6-B8969256228C}">
  <dimension ref="A1:I29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I14" sqref="I14"/>
    </sheetView>
  </sheetViews>
  <sheetFormatPr defaultRowHeight="12.75"/>
  <cols>
    <col min="1" max="1" width="84.25" style="3" bestFit="1" customWidth="1"/>
    <col min="2" max="2" width="9" style="3"/>
    <col min="3" max="3" width="12.25" style="2" bestFit="1" customWidth="1"/>
    <col min="4" max="5" width="10" style="2" bestFit="1" customWidth="1"/>
    <col min="6" max="6" width="8.125" style="2" bestFit="1" customWidth="1"/>
    <col min="7" max="7" width="14.75" style="2" bestFit="1" customWidth="1"/>
    <col min="8" max="8" width="12.25" style="2" bestFit="1" customWidth="1"/>
    <col min="9" max="9" width="29.25" style="3" bestFit="1" customWidth="1"/>
    <col min="10" max="16384" width="9" style="3"/>
  </cols>
  <sheetData>
    <row r="1" spans="1:9" ht="15.7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15.75">
      <c r="A2" s="4" t="s">
        <v>22</v>
      </c>
      <c r="B2" s="4"/>
      <c r="C2" s="4"/>
      <c r="D2" s="4"/>
      <c r="E2" s="4"/>
      <c r="F2" s="4"/>
      <c r="G2" s="4"/>
      <c r="H2" s="4"/>
      <c r="I2" s="4"/>
    </row>
    <row r="3" spans="1:9" ht="18">
      <c r="A3" s="5" t="s">
        <v>2</v>
      </c>
      <c r="B3" s="5"/>
      <c r="C3" s="5"/>
      <c r="D3" s="5"/>
      <c r="E3" s="5"/>
      <c r="F3" s="5"/>
      <c r="G3" s="5"/>
      <c r="H3" s="5"/>
      <c r="I3" s="5"/>
    </row>
    <row r="5" spans="1:9">
      <c r="A5" s="3" t="s">
        <v>3</v>
      </c>
      <c r="B5" s="3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3" t="s">
        <v>23</v>
      </c>
    </row>
    <row r="6" spans="1:9">
      <c r="A6" s="3" t="s">
        <v>36</v>
      </c>
      <c r="B6" s="3" t="s">
        <v>11</v>
      </c>
      <c r="C6" s="2">
        <v>584</v>
      </c>
      <c r="D6" s="2">
        <v>324</v>
      </c>
      <c r="E6" s="2">
        <v>-123</v>
      </c>
      <c r="H6" s="2">
        <f>SUM(C6:G6)</f>
        <v>785</v>
      </c>
      <c r="I6" s="3" t="s">
        <v>24</v>
      </c>
    </row>
    <row r="7" spans="1:9">
      <c r="A7" s="3" t="s">
        <v>34</v>
      </c>
      <c r="B7" s="3" t="s">
        <v>11</v>
      </c>
      <c r="C7" s="2">
        <v>768</v>
      </c>
      <c r="D7" s="2">
        <v>648</v>
      </c>
      <c r="E7" s="2">
        <v>218</v>
      </c>
      <c r="F7" s="2">
        <v>4</v>
      </c>
      <c r="G7" s="2">
        <v>27.1</v>
      </c>
      <c r="H7" s="2">
        <f t="shared" ref="H7:H18" si="0">SUM(C7:G7)</f>
        <v>1665.1</v>
      </c>
    </row>
    <row r="8" spans="1:9">
      <c r="A8" s="3" t="s">
        <v>66</v>
      </c>
      <c r="B8" s="3" t="s">
        <v>11</v>
      </c>
      <c r="C8" s="2">
        <v>239</v>
      </c>
      <c r="D8" s="2">
        <v>123</v>
      </c>
      <c r="G8" s="2">
        <v>21.8</v>
      </c>
      <c r="H8" s="2">
        <f t="shared" si="0"/>
        <v>383.8</v>
      </c>
    </row>
    <row r="9" spans="1:9">
      <c r="A9" s="3" t="s">
        <v>35</v>
      </c>
      <c r="B9" s="3" t="s">
        <v>11</v>
      </c>
      <c r="C9" s="2">
        <v>720.41</v>
      </c>
      <c r="D9" s="2">
        <v>165.31</v>
      </c>
      <c r="G9" s="2">
        <v>136.25</v>
      </c>
      <c r="H9" s="2">
        <f t="shared" si="0"/>
        <v>1021.97</v>
      </c>
      <c r="I9" s="3" t="s">
        <v>25</v>
      </c>
    </row>
    <row r="10" spans="1:9">
      <c r="A10" s="3" t="s">
        <v>65</v>
      </c>
      <c r="B10" s="3" t="s">
        <v>11</v>
      </c>
      <c r="C10" s="2">
        <v>458</v>
      </c>
      <c r="D10" s="2">
        <v>200</v>
      </c>
      <c r="F10" s="2">
        <v>109.00000000000003</v>
      </c>
      <c r="H10" s="2">
        <f t="shared" si="0"/>
        <v>767</v>
      </c>
      <c r="I10" s="3" t="s">
        <v>26</v>
      </c>
    </row>
    <row r="11" spans="1:9">
      <c r="A11" s="3" t="s">
        <v>28</v>
      </c>
      <c r="B11" s="3" t="s">
        <v>11</v>
      </c>
      <c r="C11" s="2">
        <v>428</v>
      </c>
      <c r="D11" s="2">
        <v>211.9</v>
      </c>
      <c r="E11" s="2">
        <v>353.64</v>
      </c>
      <c r="G11" s="2">
        <v>596.46999999999935</v>
      </c>
      <c r="H11" s="2">
        <f t="shared" si="0"/>
        <v>1590.0099999999993</v>
      </c>
      <c r="I11" s="3" t="s">
        <v>25</v>
      </c>
    </row>
    <row r="12" spans="1:9">
      <c r="A12" s="3" t="s">
        <v>29</v>
      </c>
      <c r="B12" s="3" t="s">
        <v>11</v>
      </c>
      <c r="C12" s="2">
        <v>748</v>
      </c>
      <c r="G12" s="2">
        <v>-21.8</v>
      </c>
      <c r="H12" s="2">
        <f t="shared" si="0"/>
        <v>726.2</v>
      </c>
    </row>
    <row r="13" spans="1:9">
      <c r="A13" s="3" t="s">
        <v>30</v>
      </c>
      <c r="B13" s="3" t="s">
        <v>11</v>
      </c>
      <c r="C13" s="2">
        <v>548</v>
      </c>
      <c r="E13" s="2">
        <v>81.75</v>
      </c>
      <c r="H13" s="2">
        <f t="shared" si="0"/>
        <v>629.75</v>
      </c>
    </row>
    <row r="14" spans="1:9">
      <c r="A14" s="3" t="s">
        <v>31</v>
      </c>
      <c r="B14" s="3" t="s">
        <v>11</v>
      </c>
      <c r="C14" s="2">
        <v>235</v>
      </c>
      <c r="F14" s="2">
        <v>109</v>
      </c>
      <c r="G14" s="2">
        <v>324.35399999999998</v>
      </c>
      <c r="H14" s="2">
        <f t="shared" si="0"/>
        <v>668.35400000000004</v>
      </c>
    </row>
    <row r="15" spans="1:9">
      <c r="A15" s="3" t="s">
        <v>64</v>
      </c>
      <c r="B15" s="3" t="s">
        <v>11</v>
      </c>
      <c r="C15" s="2">
        <v>935</v>
      </c>
      <c r="G15" s="2">
        <v>196.65</v>
      </c>
      <c r="H15" s="2">
        <f t="shared" si="0"/>
        <v>1131.6500000000001</v>
      </c>
    </row>
    <row r="16" spans="1:9">
      <c r="A16" s="3" t="s">
        <v>32</v>
      </c>
      <c r="B16" s="3" t="s">
        <v>11</v>
      </c>
      <c r="C16" s="2">
        <v>433</v>
      </c>
      <c r="H16" s="2">
        <f t="shared" si="0"/>
        <v>433</v>
      </c>
    </row>
    <row r="17" spans="1:9">
      <c r="A17" s="3" t="s">
        <v>33</v>
      </c>
      <c r="B17" s="3" t="s">
        <v>11</v>
      </c>
      <c r="C17" s="2">
        <v>416</v>
      </c>
      <c r="E17" s="2">
        <v>643.5</v>
      </c>
      <c r="G17" s="2">
        <v>337.90000000000003</v>
      </c>
      <c r="H17" s="2">
        <f t="shared" si="0"/>
        <v>1397.4</v>
      </c>
    </row>
    <row r="18" spans="1:9">
      <c r="A18" s="3" t="s">
        <v>67</v>
      </c>
      <c r="B18" s="3" t="s">
        <v>11</v>
      </c>
      <c r="C18" s="2">
        <v>-658</v>
      </c>
      <c r="H18" s="2">
        <f t="shared" si="0"/>
        <v>-658</v>
      </c>
    </row>
    <row r="19" spans="1:9">
      <c r="C19" s="2">
        <f t="shared" ref="C19:H19" si="1">SUBTOTAL(9,C5:C18)</f>
        <v>5854.41</v>
      </c>
      <c r="D19" s="2">
        <f t="shared" si="1"/>
        <v>1672.21</v>
      </c>
      <c r="E19" s="2">
        <f t="shared" si="1"/>
        <v>1173.8899999999999</v>
      </c>
      <c r="F19" s="2">
        <f t="shared" si="1"/>
        <v>222.00000000000003</v>
      </c>
      <c r="G19" s="2">
        <f t="shared" si="1"/>
        <v>1618.7239999999995</v>
      </c>
      <c r="H19" s="2">
        <f t="shared" si="1"/>
        <v>10541.233999999999</v>
      </c>
    </row>
    <row r="22" spans="1:9">
      <c r="A22" s="3" t="s">
        <v>3</v>
      </c>
      <c r="B22" s="3" t="s">
        <v>4</v>
      </c>
      <c r="C22" s="2" t="s">
        <v>5</v>
      </c>
      <c r="D22" s="2" t="s">
        <v>6</v>
      </c>
      <c r="E22" s="2" t="s">
        <v>7</v>
      </c>
      <c r="F22" s="2" t="s">
        <v>8</v>
      </c>
      <c r="G22" s="2" t="s">
        <v>9</v>
      </c>
      <c r="H22" s="2" t="s">
        <v>10</v>
      </c>
      <c r="I22" s="3" t="s">
        <v>23</v>
      </c>
    </row>
    <row r="23" spans="1:9">
      <c r="A23" s="3" t="s">
        <v>71</v>
      </c>
      <c r="B23" s="3" t="s">
        <v>13</v>
      </c>
      <c r="C23" s="2">
        <v>365.15</v>
      </c>
      <c r="D23" s="2">
        <v>109</v>
      </c>
      <c r="E23" s="2">
        <v>947.44</v>
      </c>
      <c r="H23" s="2">
        <f t="shared" ref="H23:H28" si="2">SUM(C23:G23)</f>
        <v>1421.5900000000001</v>
      </c>
    </row>
    <row r="24" spans="1:9">
      <c r="A24" s="3" t="s">
        <v>68</v>
      </c>
      <c r="B24" s="3" t="s">
        <v>13</v>
      </c>
      <c r="G24" s="2">
        <v>843.11</v>
      </c>
      <c r="H24" s="2">
        <f t="shared" si="2"/>
        <v>843.11</v>
      </c>
    </row>
    <row r="25" spans="1:9">
      <c r="A25" s="3" t="s">
        <v>69</v>
      </c>
      <c r="B25" s="3" t="s">
        <v>13</v>
      </c>
      <c r="G25" s="2">
        <v>109</v>
      </c>
      <c r="H25" s="2">
        <f t="shared" si="2"/>
        <v>109</v>
      </c>
    </row>
    <row r="26" spans="1:9">
      <c r="A26" s="3" t="s">
        <v>72</v>
      </c>
      <c r="B26" s="3" t="s">
        <v>13</v>
      </c>
      <c r="G26" s="2">
        <v>103.35999999999967</v>
      </c>
      <c r="H26" s="2">
        <f t="shared" si="2"/>
        <v>103.35999999999967</v>
      </c>
    </row>
    <row r="27" spans="1:9">
      <c r="A27" s="3" t="s">
        <v>70</v>
      </c>
      <c r="B27" s="3" t="s">
        <v>13</v>
      </c>
      <c r="G27" s="2">
        <v>68.05</v>
      </c>
      <c r="H27" s="2">
        <f t="shared" si="2"/>
        <v>68.05</v>
      </c>
    </row>
    <row r="28" spans="1:9">
      <c r="A28" s="3" t="s">
        <v>40</v>
      </c>
      <c r="B28" s="3" t="s">
        <v>13</v>
      </c>
      <c r="G28" s="2">
        <v>-365.82999999999993</v>
      </c>
      <c r="H28" s="2">
        <f t="shared" si="2"/>
        <v>-365.82999999999993</v>
      </c>
    </row>
    <row r="29" spans="1:9">
      <c r="C29" s="2">
        <f>SUBTOTAL(9,C22:C28)</f>
        <v>365.15</v>
      </c>
      <c r="D29" s="2">
        <f t="shared" ref="D29:H29" si="3">SUBTOTAL(9,D22:D28)</f>
        <v>109</v>
      </c>
      <c r="E29" s="2">
        <f t="shared" si="3"/>
        <v>947.44</v>
      </c>
      <c r="F29" s="2">
        <f t="shared" si="3"/>
        <v>0</v>
      </c>
      <c r="G29" s="2">
        <f t="shared" si="3"/>
        <v>757.68999999999983</v>
      </c>
      <c r="H29" s="2">
        <f t="shared" si="3"/>
        <v>2179.2800000000002</v>
      </c>
    </row>
  </sheetData>
  <autoFilter ref="A5:I18" xr:uid="{F0CBBC8B-A437-4837-A205-84B51A388374}">
    <sortState xmlns:xlrd2="http://schemas.microsoft.com/office/spreadsheetml/2017/richdata2" ref="A6:I18">
      <sortCondition descending="1" ref="D5:D18"/>
    </sortState>
  </autoFilter>
  <mergeCells count="3">
    <mergeCell ref="A1:I1"/>
    <mergeCell ref="A2:I2"/>
    <mergeCell ref="A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A7B1-EF15-4C90-B8FD-8E2F7B39A728}">
  <dimension ref="A1:I2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I10" sqref="I10"/>
    </sheetView>
  </sheetViews>
  <sheetFormatPr defaultRowHeight="12.75"/>
  <cols>
    <col min="1" max="1" width="72.25" style="3" bestFit="1" customWidth="1"/>
    <col min="2" max="2" width="9" style="3"/>
    <col min="3" max="3" width="12.25" style="2" bestFit="1" customWidth="1"/>
    <col min="4" max="5" width="10" style="2" bestFit="1" customWidth="1"/>
    <col min="6" max="6" width="9" style="2" bestFit="1" customWidth="1"/>
    <col min="7" max="7" width="14.75" style="2" bestFit="1" customWidth="1"/>
    <col min="8" max="8" width="12.25" style="2" bestFit="1" customWidth="1"/>
    <col min="9" max="9" width="29.25" style="3" bestFit="1" customWidth="1"/>
    <col min="10" max="16384" width="9" style="3"/>
  </cols>
  <sheetData>
    <row r="1" spans="1:9" ht="15.7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15.75">
      <c r="A2" s="4" t="s">
        <v>37</v>
      </c>
      <c r="B2" s="4"/>
      <c r="C2" s="4"/>
      <c r="D2" s="4"/>
      <c r="E2" s="4"/>
      <c r="F2" s="4"/>
      <c r="G2" s="4"/>
      <c r="H2" s="4"/>
      <c r="I2" s="4"/>
    </row>
    <row r="3" spans="1:9" ht="18">
      <c r="A3" s="5" t="s">
        <v>2</v>
      </c>
      <c r="B3" s="5"/>
      <c r="C3" s="5"/>
      <c r="D3" s="5"/>
      <c r="E3" s="5"/>
      <c r="F3" s="5"/>
      <c r="G3" s="5"/>
      <c r="H3" s="5"/>
      <c r="I3" s="5"/>
    </row>
    <row r="5" spans="1:9">
      <c r="A5" s="3" t="s">
        <v>3</v>
      </c>
      <c r="B5" s="3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3" t="s">
        <v>23</v>
      </c>
    </row>
    <row r="6" spans="1:9">
      <c r="A6" s="3" t="s">
        <v>43</v>
      </c>
      <c r="B6" s="3" t="s">
        <v>11</v>
      </c>
      <c r="C6" s="2">
        <v>486.18</v>
      </c>
      <c r="D6" s="2">
        <v>455.98</v>
      </c>
      <c r="E6" s="2">
        <v>492.68</v>
      </c>
      <c r="F6" s="2">
        <v>70.849999999999994</v>
      </c>
      <c r="G6" s="2">
        <v>626.75</v>
      </c>
      <c r="H6" s="2">
        <f>SUM(C6:G6)</f>
        <v>2132.44</v>
      </c>
    </row>
    <row r="7" spans="1:9">
      <c r="A7" s="3" t="s">
        <v>42</v>
      </c>
      <c r="B7" s="3" t="s">
        <v>11</v>
      </c>
      <c r="C7" s="2">
        <v>155.86000000000001</v>
      </c>
      <c r="D7" s="2">
        <v>155.86000000000001</v>
      </c>
      <c r="E7" s="2">
        <v>838.22</v>
      </c>
      <c r="F7" s="2">
        <v>20.72</v>
      </c>
      <c r="G7" s="2">
        <v>968.5</v>
      </c>
      <c r="H7" s="2">
        <f t="shared" ref="H7:H11" si="0">SUM(C7:G7)</f>
        <v>2139.16</v>
      </c>
    </row>
    <row r="8" spans="1:9">
      <c r="A8" s="3" t="s">
        <v>41</v>
      </c>
      <c r="B8" s="3" t="s">
        <v>11</v>
      </c>
      <c r="C8" s="2">
        <v>617.92999999999995</v>
      </c>
      <c r="D8" s="2">
        <v>153.88</v>
      </c>
      <c r="H8" s="2">
        <f t="shared" si="0"/>
        <v>771.81</v>
      </c>
    </row>
    <row r="9" spans="1:9">
      <c r="A9" s="1" t="s">
        <v>18</v>
      </c>
      <c r="B9" s="3" t="s">
        <v>11</v>
      </c>
      <c r="C9" s="2">
        <v>317.98</v>
      </c>
      <c r="D9" s="2">
        <v>417.8</v>
      </c>
      <c r="E9" s="2">
        <v>109</v>
      </c>
      <c r="G9" s="2">
        <v>900.34</v>
      </c>
      <c r="H9" s="2">
        <f t="shared" si="0"/>
        <v>1745.12</v>
      </c>
    </row>
    <row r="10" spans="1:9">
      <c r="A10" s="3" t="s">
        <v>44</v>
      </c>
      <c r="B10" s="3" t="s">
        <v>11</v>
      </c>
      <c r="C10" s="2">
        <v>682.05</v>
      </c>
      <c r="D10" s="2">
        <v>279.55</v>
      </c>
      <c r="E10" s="2">
        <v>109</v>
      </c>
      <c r="F10" s="2">
        <v>54.5</v>
      </c>
      <c r="G10" s="2">
        <v>277.95000000000005</v>
      </c>
      <c r="H10" s="2">
        <f t="shared" si="0"/>
        <v>1403.05</v>
      </c>
    </row>
    <row r="11" spans="1:9">
      <c r="A11" s="3" t="s">
        <v>45</v>
      </c>
      <c r="B11" s="3" t="s">
        <v>11</v>
      </c>
      <c r="C11" s="2">
        <v>189.19</v>
      </c>
      <c r="D11" s="2">
        <v>799.56</v>
      </c>
      <c r="E11" s="2">
        <v>610.4</v>
      </c>
      <c r="G11" s="2">
        <v>674.35</v>
      </c>
      <c r="H11" s="2">
        <f t="shared" si="0"/>
        <v>2273.5</v>
      </c>
      <c r="I11" s="3" t="s">
        <v>27</v>
      </c>
    </row>
    <row r="12" spans="1:9">
      <c r="C12" s="2">
        <f>SUBTOTAL(9,C5:C11)</f>
        <v>2449.19</v>
      </c>
      <c r="D12" s="2">
        <f t="shared" ref="D12:G12" si="1">SUBTOTAL(9,D5:D11)</f>
        <v>2262.63</v>
      </c>
      <c r="E12" s="2">
        <f t="shared" si="1"/>
        <v>2159.3000000000002</v>
      </c>
      <c r="F12" s="2">
        <f t="shared" si="1"/>
        <v>146.07</v>
      </c>
      <c r="G12" s="2">
        <f t="shared" si="1"/>
        <v>3447.89</v>
      </c>
      <c r="H12" s="2">
        <f>SUBTOTAL(9,H5:H11)</f>
        <v>10465.08</v>
      </c>
    </row>
    <row r="15" spans="1:9">
      <c r="A15" s="3" t="s">
        <v>3</v>
      </c>
      <c r="B15" s="3" t="s">
        <v>4</v>
      </c>
      <c r="C15" s="2" t="s">
        <v>5</v>
      </c>
      <c r="D15" s="2" t="s">
        <v>6</v>
      </c>
      <c r="E15" s="2" t="s">
        <v>7</v>
      </c>
      <c r="F15" s="2" t="s">
        <v>8</v>
      </c>
      <c r="G15" s="2" t="s">
        <v>9</v>
      </c>
      <c r="H15" s="2" t="s">
        <v>10</v>
      </c>
      <c r="I15" s="3" t="s">
        <v>23</v>
      </c>
    </row>
    <row r="16" spans="1:9">
      <c r="A16" s="3" t="s">
        <v>46</v>
      </c>
      <c r="B16" s="3" t="s">
        <v>13</v>
      </c>
      <c r="G16" s="2">
        <v>193.68</v>
      </c>
      <c r="H16" s="2">
        <f t="shared" ref="H16:H22" si="2">SUM(C16:G16)</f>
        <v>193.68</v>
      </c>
    </row>
    <row r="17" spans="1:8">
      <c r="A17" s="3" t="s">
        <v>47</v>
      </c>
      <c r="B17" s="3" t="s">
        <v>13</v>
      </c>
      <c r="G17" s="2">
        <v>727</v>
      </c>
      <c r="H17" s="2">
        <f t="shared" si="2"/>
        <v>727</v>
      </c>
    </row>
    <row r="18" spans="1:8">
      <c r="A18" s="3" t="s">
        <v>48</v>
      </c>
      <c r="B18" s="3" t="s">
        <v>13</v>
      </c>
      <c r="G18" s="2">
        <v>991.67</v>
      </c>
      <c r="H18" s="2">
        <f t="shared" si="2"/>
        <v>991.67</v>
      </c>
    </row>
    <row r="19" spans="1:8">
      <c r="A19" s="3" t="s">
        <v>49</v>
      </c>
      <c r="B19" s="3" t="s">
        <v>13</v>
      </c>
      <c r="C19" s="2">
        <v>-1591</v>
      </c>
      <c r="D19" s="2">
        <v>752.14</v>
      </c>
      <c r="E19" s="2">
        <v>469.86</v>
      </c>
      <c r="F19" s="2">
        <v>469.86</v>
      </c>
      <c r="H19" s="2">
        <f t="shared" si="2"/>
        <v>100.86000000000001</v>
      </c>
    </row>
    <row r="20" spans="1:8">
      <c r="A20" s="3" t="s">
        <v>50</v>
      </c>
      <c r="B20" s="3" t="s">
        <v>13</v>
      </c>
      <c r="G20" s="2">
        <v>808.41</v>
      </c>
      <c r="H20" s="2">
        <f t="shared" si="2"/>
        <v>808.41</v>
      </c>
    </row>
    <row r="21" spans="1:8">
      <c r="A21" s="3" t="s">
        <v>51</v>
      </c>
      <c r="B21" s="3" t="s">
        <v>13</v>
      </c>
      <c r="C21" s="2">
        <v>-1504</v>
      </c>
      <c r="D21" s="2">
        <v>943.86</v>
      </c>
      <c r="E21" s="2">
        <v>899.3</v>
      </c>
      <c r="F21" s="2">
        <v>890.3</v>
      </c>
      <c r="G21" s="2">
        <v>21.8</v>
      </c>
      <c r="H21" s="2">
        <f t="shared" si="2"/>
        <v>1251.26</v>
      </c>
    </row>
    <row r="22" spans="1:8">
      <c r="A22" s="3" t="s">
        <v>52</v>
      </c>
      <c r="B22" s="3" t="s">
        <v>13</v>
      </c>
      <c r="G22" s="2">
        <v>539.88</v>
      </c>
      <c r="H22" s="2">
        <f t="shared" si="2"/>
        <v>539.88</v>
      </c>
    </row>
    <row r="23" spans="1:8">
      <c r="C23" s="2">
        <f t="shared" ref="C23:H23" si="3">SUBTOTAL(9,C15:C22)</f>
        <v>-3095</v>
      </c>
      <c r="D23" s="2">
        <f t="shared" si="3"/>
        <v>1696</v>
      </c>
      <c r="E23" s="2">
        <f t="shared" si="3"/>
        <v>1369.1599999999999</v>
      </c>
      <c r="F23" s="2">
        <f t="shared" si="3"/>
        <v>1360.1599999999999</v>
      </c>
      <c r="G23" s="2">
        <f t="shared" si="3"/>
        <v>3282.44</v>
      </c>
      <c r="H23" s="2">
        <f t="shared" si="3"/>
        <v>4612.76</v>
      </c>
    </row>
  </sheetData>
  <autoFilter ref="A5:I11" xr:uid="{1F9D22D7-990F-4AF9-8E57-AA58C5768B48}">
    <sortState xmlns:xlrd2="http://schemas.microsoft.com/office/spreadsheetml/2017/richdata2" ref="A6:I11">
      <sortCondition descending="1" ref="D5:D11"/>
    </sortState>
  </autoFilter>
  <mergeCells count="3">
    <mergeCell ref="A1:I1"/>
    <mergeCell ref="A2:I2"/>
    <mergeCell ref="A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9CEE2-9551-4099-BB4C-9C1017C80C9A}">
  <dimension ref="A1:I21"/>
  <sheetViews>
    <sheetView workbookViewId="0">
      <selection activeCell="I17" sqref="I17"/>
    </sheetView>
  </sheetViews>
  <sheetFormatPr defaultRowHeight="14.25"/>
  <cols>
    <col min="1" max="1" width="62.625" bestFit="1" customWidth="1"/>
    <col min="2" max="2" width="10.125" bestFit="1" customWidth="1"/>
    <col min="3" max="4" width="11.25" bestFit="1" customWidth="1"/>
    <col min="5" max="6" width="8.75" bestFit="1" customWidth="1"/>
    <col min="7" max="7" width="17.875" bestFit="1" customWidth="1"/>
    <col min="8" max="8" width="11.75" bestFit="1" customWidth="1"/>
  </cols>
  <sheetData>
    <row r="1" spans="1:9" s="1" customFormat="1" ht="15.75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s="1" customFormat="1" ht="15.75">
      <c r="A2" s="6" t="s">
        <v>1</v>
      </c>
      <c r="B2" s="6"/>
      <c r="C2" s="6"/>
      <c r="D2" s="6"/>
      <c r="E2" s="6"/>
      <c r="F2" s="6"/>
      <c r="G2" s="6"/>
      <c r="H2" s="6"/>
      <c r="I2" s="6"/>
    </row>
    <row r="3" spans="1:9" s="1" customFormat="1" ht="18">
      <c r="A3" s="7" t="s">
        <v>2</v>
      </c>
      <c r="B3" s="7"/>
      <c r="C3" s="7"/>
      <c r="D3" s="7"/>
      <c r="E3" s="7"/>
      <c r="F3" s="7"/>
      <c r="G3" s="7"/>
      <c r="H3" s="7"/>
      <c r="I3" s="7"/>
    </row>
    <row r="4" spans="1:9" s="1" customFormat="1" ht="12.75">
      <c r="C4" s="2"/>
      <c r="D4" s="2"/>
      <c r="E4" s="2"/>
      <c r="F4" s="2"/>
      <c r="G4" s="2"/>
      <c r="H4" s="2"/>
    </row>
    <row r="5" spans="1:9" s="1" customFormat="1" ht="12.75">
      <c r="A5" s="1" t="s">
        <v>3</v>
      </c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3" t="s">
        <v>23</v>
      </c>
    </row>
    <row r="6" spans="1:9" s="1" customFormat="1" ht="12.75">
      <c r="A6" s="1" t="s">
        <v>14</v>
      </c>
      <c r="B6" s="1" t="s">
        <v>11</v>
      </c>
      <c r="C6" s="2">
        <v>200</v>
      </c>
      <c r="D6" s="2">
        <v>346.22</v>
      </c>
      <c r="E6" s="2"/>
      <c r="F6" s="2"/>
      <c r="G6" s="2"/>
      <c r="H6" s="2">
        <f>SUM(C6:G6)</f>
        <v>546.22</v>
      </c>
    </row>
    <row r="7" spans="1:9" s="1" customFormat="1" ht="12.75">
      <c r="A7" s="1" t="s">
        <v>15</v>
      </c>
      <c r="B7" s="1" t="s">
        <v>11</v>
      </c>
      <c r="C7" s="2">
        <v>100</v>
      </c>
      <c r="D7" s="2">
        <v>685.44</v>
      </c>
      <c r="E7" s="2">
        <v>436.00000000000006</v>
      </c>
      <c r="F7" s="2"/>
      <c r="G7" s="2">
        <v>295.83</v>
      </c>
      <c r="H7" s="2">
        <f t="shared" ref="H7:H12" si="0">SUM(C7:G7)</f>
        <v>1517.27</v>
      </c>
    </row>
    <row r="8" spans="1:9" s="1" customFormat="1" ht="12.75">
      <c r="A8" s="1" t="s">
        <v>16</v>
      </c>
      <c r="B8" s="1" t="s">
        <v>11</v>
      </c>
      <c r="C8" s="2">
        <v>500</v>
      </c>
      <c r="D8" s="2">
        <v>913.14</v>
      </c>
      <c r="E8" s="2"/>
      <c r="F8" s="2"/>
      <c r="G8" s="2"/>
      <c r="H8" s="2">
        <f t="shared" si="0"/>
        <v>1413.1399999999999</v>
      </c>
    </row>
    <row r="9" spans="1:9" s="1" customFormat="1" ht="12.75">
      <c r="A9" s="1" t="s">
        <v>19</v>
      </c>
      <c r="B9" s="1" t="s">
        <v>11</v>
      </c>
      <c r="C9" s="2">
        <v>735</v>
      </c>
      <c r="D9" s="2">
        <v>663.84</v>
      </c>
      <c r="E9" s="2"/>
      <c r="F9" s="2"/>
      <c r="G9" s="2"/>
      <c r="H9" s="2">
        <f t="shared" si="0"/>
        <v>1398.8400000000001</v>
      </c>
    </row>
    <row r="10" spans="1:9" s="1" customFormat="1" ht="12.75">
      <c r="A10" s="1" t="s">
        <v>20</v>
      </c>
      <c r="B10" s="1" t="s">
        <v>11</v>
      </c>
      <c r="C10" s="2">
        <v>412</v>
      </c>
      <c r="D10" s="2">
        <v>756</v>
      </c>
      <c r="E10" s="2">
        <v>216.08000000000004</v>
      </c>
      <c r="F10" s="2">
        <v>534.72</v>
      </c>
      <c r="G10" s="2">
        <v>968</v>
      </c>
      <c r="H10" s="2">
        <f t="shared" si="0"/>
        <v>2886.8</v>
      </c>
    </row>
    <row r="11" spans="1:9" s="1" customFormat="1" ht="12.75">
      <c r="A11" s="1" t="s">
        <v>12</v>
      </c>
      <c r="B11" s="1" t="s">
        <v>11</v>
      </c>
      <c r="C11" s="2">
        <v>856</v>
      </c>
      <c r="D11" s="2">
        <v>234.16</v>
      </c>
      <c r="E11" s="2"/>
      <c r="F11" s="2"/>
      <c r="G11" s="2"/>
      <c r="H11" s="2">
        <f t="shared" si="0"/>
        <v>1090.1600000000001</v>
      </c>
    </row>
    <row r="12" spans="1:9" s="1" customFormat="1" ht="12.75">
      <c r="A12" s="1" t="s">
        <v>17</v>
      </c>
      <c r="B12" s="1" t="s">
        <v>11</v>
      </c>
      <c r="C12" s="2">
        <v>125.16</v>
      </c>
      <c r="D12" s="2">
        <v>125.16</v>
      </c>
      <c r="E12" s="2"/>
      <c r="F12" s="2"/>
      <c r="G12" s="2"/>
      <c r="H12" s="2">
        <f t="shared" si="0"/>
        <v>250.32</v>
      </c>
    </row>
    <row r="13" spans="1:9" s="1" customFormat="1" ht="12.75">
      <c r="A13" s="1" t="s">
        <v>18</v>
      </c>
      <c r="B13" s="1" t="s">
        <v>11</v>
      </c>
      <c r="C13" s="2">
        <v>109</v>
      </c>
      <c r="D13" s="2">
        <v>832</v>
      </c>
      <c r="E13" s="2">
        <v>109</v>
      </c>
      <c r="F13" s="2"/>
      <c r="G13" s="2">
        <v>108.88</v>
      </c>
      <c r="H13" s="2">
        <f>SUM(C13:G13)</f>
        <v>1158.8800000000001</v>
      </c>
    </row>
    <row r="14" spans="1:9" s="1" customFormat="1" ht="12.75">
      <c r="C14" s="2">
        <f>SUM(C6:C13)</f>
        <v>3037.16</v>
      </c>
      <c r="D14" s="2">
        <f t="shared" ref="D14:H14" si="1">SUM(D6:D13)</f>
        <v>4555.96</v>
      </c>
      <c r="E14" s="2">
        <f t="shared" si="1"/>
        <v>761.08000000000015</v>
      </c>
      <c r="F14" s="2">
        <f t="shared" si="1"/>
        <v>534.72</v>
      </c>
      <c r="G14" s="2">
        <f t="shared" si="1"/>
        <v>1372.71</v>
      </c>
      <c r="H14" s="2">
        <f t="shared" si="1"/>
        <v>10261.630000000001</v>
      </c>
    </row>
    <row r="15" spans="1:9" s="1" customFormat="1" ht="12.75">
      <c r="C15" s="2"/>
      <c r="D15" s="2"/>
      <c r="E15" s="2"/>
      <c r="F15" s="2"/>
      <c r="G15" s="2"/>
      <c r="H15" s="2"/>
    </row>
    <row r="16" spans="1:9" s="1" customFormat="1" ht="12.75">
      <c r="C16" s="2"/>
      <c r="D16" s="2"/>
      <c r="E16" s="2"/>
      <c r="F16" s="2"/>
      <c r="G16" s="2"/>
      <c r="H16" s="2"/>
    </row>
    <row r="17" spans="1:9" s="1" customFormat="1" ht="12.75">
      <c r="A17" s="1" t="s">
        <v>3</v>
      </c>
      <c r="B17" s="1" t="s">
        <v>4</v>
      </c>
      <c r="C17" s="2" t="s">
        <v>5</v>
      </c>
      <c r="D17" s="2" t="s">
        <v>6</v>
      </c>
      <c r="E17" s="2" t="s">
        <v>7</v>
      </c>
      <c r="F17" s="2" t="s">
        <v>8</v>
      </c>
      <c r="G17" s="2" t="s">
        <v>9</v>
      </c>
      <c r="H17" s="2" t="s">
        <v>10</v>
      </c>
      <c r="I17" s="3" t="s">
        <v>23</v>
      </c>
    </row>
    <row r="18" spans="1:9" s="1" customFormat="1" ht="12.75">
      <c r="A18" s="1" t="s">
        <v>21</v>
      </c>
      <c r="B18" s="1" t="s">
        <v>13</v>
      </c>
      <c r="C18" s="2"/>
      <c r="D18" s="2"/>
      <c r="E18" s="2"/>
      <c r="F18" s="2"/>
      <c r="G18" s="2">
        <v>300.91000000000003</v>
      </c>
      <c r="H18" s="2">
        <v>300.91000000000003</v>
      </c>
    </row>
    <row r="19" spans="1:9" s="1" customFormat="1" ht="12.75">
      <c r="A19" s="1" t="s">
        <v>63</v>
      </c>
      <c r="B19" s="1" t="s">
        <v>13</v>
      </c>
      <c r="C19" s="2"/>
      <c r="D19" s="2"/>
      <c r="E19" s="2"/>
      <c r="F19" s="2"/>
      <c r="G19" s="2">
        <v>163.5</v>
      </c>
      <c r="H19" s="2">
        <v>163.5</v>
      </c>
    </row>
    <row r="20" spans="1:9" s="1" customFormat="1" ht="12.75">
      <c r="A20" s="3" t="s">
        <v>62</v>
      </c>
      <c r="B20" s="1" t="s">
        <v>13</v>
      </c>
      <c r="C20" s="2"/>
      <c r="D20" s="2"/>
      <c r="E20" s="2"/>
      <c r="F20" s="2"/>
      <c r="G20" s="2">
        <v>-365.82999999999993</v>
      </c>
      <c r="H20" s="2">
        <v>-365.82999999999993</v>
      </c>
    </row>
    <row r="21" spans="1:9" s="1" customFormat="1" ht="12.75">
      <c r="C21" s="2">
        <f t="shared" ref="C21:H21" si="2">SUBTOTAL(9,C17:C20)</f>
        <v>0</v>
      </c>
      <c r="D21" s="2">
        <f t="shared" si="2"/>
        <v>0</v>
      </c>
      <c r="E21" s="2">
        <f t="shared" si="2"/>
        <v>0</v>
      </c>
      <c r="F21" s="2">
        <f t="shared" si="2"/>
        <v>0</v>
      </c>
      <c r="G21" s="2">
        <f t="shared" si="2"/>
        <v>98.580000000000098</v>
      </c>
      <c r="H21" s="2">
        <f t="shared" si="2"/>
        <v>98.580000000000098</v>
      </c>
    </row>
  </sheetData>
  <mergeCells count="3">
    <mergeCell ref="A1:I1"/>
    <mergeCell ref="A2:I2"/>
    <mergeCell ref="A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5F0C9-3F57-4F75-92B9-EB496CD3C7AE}">
  <dimension ref="A1:I20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F26" sqref="F26"/>
    </sheetView>
  </sheetViews>
  <sheetFormatPr defaultRowHeight="12.75"/>
  <cols>
    <col min="1" max="1" width="73.5" style="3" bestFit="1" customWidth="1"/>
    <col min="2" max="2" width="9" style="3"/>
    <col min="3" max="3" width="11.375" style="2" bestFit="1" customWidth="1"/>
    <col min="4" max="6" width="8.125" style="2" bestFit="1" customWidth="1"/>
    <col min="7" max="7" width="14.75" style="2" bestFit="1" customWidth="1"/>
    <col min="8" max="8" width="11.375" style="2" bestFit="1" customWidth="1"/>
    <col min="9" max="16384" width="9" style="3"/>
  </cols>
  <sheetData>
    <row r="1" spans="1:9" ht="15.7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15.75">
      <c r="A2" s="4" t="s">
        <v>38</v>
      </c>
      <c r="B2" s="4"/>
      <c r="C2" s="4"/>
      <c r="D2" s="4"/>
      <c r="E2" s="4"/>
      <c r="F2" s="4"/>
      <c r="G2" s="4"/>
      <c r="H2" s="4"/>
      <c r="I2" s="4"/>
    </row>
    <row r="3" spans="1:9" ht="18">
      <c r="A3" s="5" t="s">
        <v>2</v>
      </c>
      <c r="B3" s="5"/>
      <c r="C3" s="5"/>
      <c r="D3" s="5"/>
      <c r="E3" s="5"/>
      <c r="F3" s="5"/>
      <c r="G3" s="5"/>
      <c r="H3" s="5"/>
      <c r="I3" s="5"/>
    </row>
    <row r="4" spans="1:9" ht="18">
      <c r="A4" s="5" t="s">
        <v>39</v>
      </c>
      <c r="B4" s="5"/>
      <c r="C4" s="5"/>
      <c r="D4" s="5"/>
      <c r="E4" s="5"/>
      <c r="F4" s="5"/>
      <c r="G4" s="5"/>
      <c r="H4" s="5"/>
      <c r="I4" s="5"/>
    </row>
    <row r="5" spans="1:9">
      <c r="A5" s="3" t="s">
        <v>3</v>
      </c>
      <c r="B5" s="3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3" t="s">
        <v>23</v>
      </c>
    </row>
    <row r="6" spans="1:9">
      <c r="A6" s="3" t="s">
        <v>57</v>
      </c>
      <c r="B6" s="3" t="s">
        <v>11</v>
      </c>
      <c r="C6" s="2">
        <v>340.6</v>
      </c>
      <c r="D6" s="2">
        <v>668.33999999999992</v>
      </c>
      <c r="E6" s="2">
        <v>-0.1</v>
      </c>
      <c r="F6" s="2">
        <v>-0.1</v>
      </c>
      <c r="H6" s="2">
        <f>SUM(C6:G6)</f>
        <v>1008.7399999999999</v>
      </c>
    </row>
    <row r="7" spans="1:9">
      <c r="A7" s="3" t="s">
        <v>55</v>
      </c>
      <c r="B7" s="3" t="s">
        <v>11</v>
      </c>
      <c r="C7" s="2">
        <v>932.33</v>
      </c>
      <c r="D7" s="2">
        <v>283.39999999999998</v>
      </c>
      <c r="H7" s="2">
        <f t="shared" ref="H7:H11" si="0">SUM(C7:G7)</f>
        <v>1215.73</v>
      </c>
    </row>
    <row r="8" spans="1:9">
      <c r="A8" s="3" t="s">
        <v>56</v>
      </c>
      <c r="B8" s="3" t="s">
        <v>11</v>
      </c>
      <c r="C8" s="2">
        <v>720.64</v>
      </c>
      <c r="D8" s="2">
        <v>218</v>
      </c>
      <c r="H8" s="2">
        <f t="shared" si="0"/>
        <v>938.64</v>
      </c>
    </row>
    <row r="9" spans="1:9">
      <c r="A9" s="3" t="s">
        <v>53</v>
      </c>
      <c r="B9" s="3" t="s">
        <v>11</v>
      </c>
      <c r="C9" s="2">
        <v>441.28</v>
      </c>
      <c r="D9" s="2">
        <v>212.55</v>
      </c>
      <c r="H9" s="2">
        <f t="shared" si="0"/>
        <v>653.82999999999993</v>
      </c>
    </row>
    <row r="10" spans="1:9">
      <c r="A10" s="3" t="s">
        <v>54</v>
      </c>
      <c r="B10" s="3" t="s">
        <v>11</v>
      </c>
      <c r="C10" s="2">
        <v>703.1</v>
      </c>
      <c r="D10" s="2">
        <v>119.9</v>
      </c>
      <c r="G10" s="2">
        <v>32.700000000000003</v>
      </c>
      <c r="H10" s="2">
        <f t="shared" si="0"/>
        <v>855.7</v>
      </c>
    </row>
    <row r="11" spans="1:9">
      <c r="A11" s="3" t="s">
        <v>58</v>
      </c>
      <c r="B11" s="3" t="s">
        <v>11</v>
      </c>
      <c r="C11" s="2">
        <v>197.22</v>
      </c>
      <c r="D11" s="2">
        <v>54.5</v>
      </c>
      <c r="E11" s="2">
        <v>299.75</v>
      </c>
      <c r="F11" s="2">
        <v>27.25</v>
      </c>
      <c r="H11" s="2">
        <f t="shared" si="0"/>
        <v>578.72</v>
      </c>
    </row>
    <row r="12" spans="1:9">
      <c r="C12" s="2">
        <f t="shared" ref="C12:H12" si="1">SUBTOTAL(9,C5:C11)</f>
        <v>3335.17</v>
      </c>
      <c r="D12" s="2">
        <f t="shared" si="1"/>
        <v>1556.6899999999998</v>
      </c>
      <c r="E12" s="2">
        <f t="shared" si="1"/>
        <v>299.64999999999998</v>
      </c>
      <c r="F12" s="2">
        <f t="shared" si="1"/>
        <v>27.15</v>
      </c>
      <c r="G12" s="2">
        <f t="shared" si="1"/>
        <v>32.700000000000003</v>
      </c>
      <c r="H12" s="2">
        <f t="shared" si="1"/>
        <v>5251.36</v>
      </c>
    </row>
    <row r="15" spans="1:9">
      <c r="A15" s="3" t="s">
        <v>3</v>
      </c>
      <c r="B15" s="3" t="s">
        <v>4</v>
      </c>
      <c r="C15" s="2" t="s">
        <v>5</v>
      </c>
      <c r="D15" s="2" t="s">
        <v>6</v>
      </c>
      <c r="E15" s="2" t="s">
        <v>7</v>
      </c>
      <c r="F15" s="2" t="s">
        <v>8</v>
      </c>
      <c r="G15" s="2" t="s">
        <v>9</v>
      </c>
      <c r="H15" s="2" t="s">
        <v>10</v>
      </c>
      <c r="I15" s="3" t="s">
        <v>23</v>
      </c>
    </row>
    <row r="16" spans="1:9">
      <c r="A16" s="3" t="s">
        <v>59</v>
      </c>
      <c r="B16" s="3" t="s">
        <v>13</v>
      </c>
      <c r="C16" s="2">
        <v>109</v>
      </c>
      <c r="D16" s="2">
        <v>173.69</v>
      </c>
      <c r="E16" s="2">
        <v>767.19</v>
      </c>
      <c r="F16" s="2">
        <v>-859.41</v>
      </c>
      <c r="G16" s="2">
        <v>750.1</v>
      </c>
      <c r="H16" s="2">
        <f t="shared" ref="H16:H19" si="2">SUM(C16:G16)</f>
        <v>940.57000000000016</v>
      </c>
    </row>
    <row r="17" spans="1:8">
      <c r="A17" s="3" t="s">
        <v>60</v>
      </c>
      <c r="B17" s="3" t="s">
        <v>13</v>
      </c>
      <c r="G17" s="2">
        <v>915.13</v>
      </c>
      <c r="H17" s="2">
        <f t="shared" si="2"/>
        <v>915.13</v>
      </c>
    </row>
    <row r="18" spans="1:8">
      <c r="A18" s="3" t="s">
        <v>61</v>
      </c>
      <c r="B18" s="3" t="s">
        <v>13</v>
      </c>
      <c r="G18" s="2">
        <v>71.02</v>
      </c>
      <c r="H18" s="2">
        <f t="shared" si="2"/>
        <v>71.02</v>
      </c>
    </row>
    <row r="19" spans="1:8">
      <c r="A19" s="3" t="s">
        <v>62</v>
      </c>
      <c r="B19" s="3" t="s">
        <v>13</v>
      </c>
      <c r="G19" s="2">
        <v>-365.82999999999993</v>
      </c>
      <c r="H19" s="2">
        <f t="shared" si="2"/>
        <v>-365.82999999999993</v>
      </c>
    </row>
    <row r="20" spans="1:8">
      <c r="C20" s="2">
        <f>SUBTOTAL(9,C16:C19)</f>
        <v>109</v>
      </c>
      <c r="D20" s="2">
        <f t="shared" ref="D20:H20" si="3">SUBTOTAL(9,D16:D19)</f>
        <v>173.69</v>
      </c>
      <c r="E20" s="2">
        <f t="shared" si="3"/>
        <v>767.19</v>
      </c>
      <c r="F20" s="2">
        <f t="shared" si="3"/>
        <v>-859.41</v>
      </c>
      <c r="G20" s="2">
        <f t="shared" si="3"/>
        <v>1370.42</v>
      </c>
      <c r="H20" s="2">
        <f t="shared" si="3"/>
        <v>1560.8900000000003</v>
      </c>
    </row>
  </sheetData>
  <autoFilter ref="A5:I11" xr:uid="{668D5A58-5089-4C89-BDAA-FB344B66BA17}">
    <sortState xmlns:xlrd2="http://schemas.microsoft.com/office/spreadsheetml/2017/richdata2" ref="A6:I11">
      <sortCondition descending="1" ref="D5:D11"/>
    </sortState>
  </autoFilter>
  <mergeCells count="4">
    <mergeCell ref="A1:I1"/>
    <mergeCell ref="A2:I2"/>
    <mergeCell ref="A3:I3"/>
    <mergeCell ref="A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JPD1</vt:lpstr>
      <vt:lpstr>JPD2</vt:lpstr>
      <vt:lpstr>BSD</vt:lpstr>
      <vt:lpstr>LEO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</dc:creator>
  <cp:lastModifiedBy>Jacqueline</cp:lastModifiedBy>
  <dcterms:created xsi:type="dcterms:W3CDTF">2026-05-25T05:50:26Z</dcterms:created>
  <dcterms:modified xsi:type="dcterms:W3CDTF">2026-05-26T05:55:24Z</dcterms:modified>
</cp:coreProperties>
</file>
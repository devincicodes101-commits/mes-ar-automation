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queline\Downloads\"/>
    </mc:Choice>
  </mc:AlternateContent>
  <xr:revisionPtr revIDLastSave="0" documentId="13_ncr:1_{E07BDD06-9098-4F67-B61C-1252F1E06C4C}" xr6:coauthVersionLast="47" xr6:coauthVersionMax="47" xr10:uidLastSave="{00000000-0000-0000-0000-000000000000}"/>
  <bookViews>
    <workbookView xWindow="-120" yWindow="-120" windowWidth="29040" windowHeight="15720" activeTab="7" xr2:uid="{0AFCAD25-3F03-4EFC-8EAA-D28EEDB2E7AC}"/>
  </bookViews>
  <sheets>
    <sheet name="Detailed Full Report" sheetId="1" r:id="rId1"/>
    <sheet name="Stamp Duty" sheetId="2" r:id="rId2"/>
    <sheet name="Park Fee" sheetId="3" r:id="rId3"/>
    <sheet name="Late Fee" sheetId="4" r:id="rId4"/>
    <sheet name="Industry " sheetId="5" r:id="rId5"/>
    <sheet name="RM - User1" sheetId="7" r:id="rId6"/>
    <sheet name="RM - User2 " sheetId="8" r:id="rId7"/>
    <sheet name="Contact Details" sheetId="9" r:id="rId8"/>
  </sheets>
  <definedNames>
    <definedName name="_xlnm._FilterDatabase" localSheetId="0" hidden="1">'Detailed Full Report'!$A$6:$M$192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5" l="1"/>
  <c r="K3" i="5"/>
  <c r="K2" i="5"/>
  <c r="K10" i="5"/>
  <c r="K9" i="5"/>
  <c r="K8" i="5"/>
  <c r="K7" i="5"/>
  <c r="K6" i="5"/>
  <c r="M192" i="1" l="1"/>
  <c r="L192" i="1"/>
  <c r="L191" i="1"/>
  <c r="L190" i="1"/>
  <c r="L189" i="1"/>
  <c r="L188" i="1"/>
  <c r="L187" i="1"/>
  <c r="L186" i="1"/>
  <c r="L185" i="1"/>
  <c r="L184" i="1"/>
  <c r="L183" i="1"/>
  <c r="L182" i="1"/>
  <c r="M181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M27" i="1"/>
  <c r="M31" i="1"/>
  <c r="M162" i="1"/>
  <c r="L162" i="1"/>
  <c r="L161" i="1"/>
  <c r="L160" i="1"/>
  <c r="L159" i="1"/>
  <c r="L158" i="1"/>
  <c r="L157" i="1"/>
  <c r="L156" i="1"/>
  <c r="L155" i="1"/>
  <c r="L154" i="1"/>
  <c r="M153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M127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M18" i="1"/>
  <c r="L18" i="1"/>
  <c r="L17" i="1"/>
  <c r="L16" i="1"/>
  <c r="L15" i="1"/>
  <c r="L14" i="1"/>
  <c r="L13" i="1"/>
  <c r="L12" i="1"/>
  <c r="L11" i="1"/>
  <c r="L10" i="1"/>
  <c r="L9" i="1"/>
  <c r="L8" i="1"/>
  <c r="L7" i="1"/>
  <c r="M54" i="1" l="1"/>
</calcChain>
</file>

<file path=xl/sharedStrings.xml><?xml version="1.0" encoding="utf-8"?>
<sst xmlns="http://schemas.openxmlformats.org/spreadsheetml/2006/main" count="1136" uniqueCount="256">
  <si>
    <t>Invoice</t>
  </si>
  <si>
    <t>VAT</t>
  </si>
  <si>
    <t>J1-786/45332</t>
  </si>
  <si>
    <t>CREAM Services</t>
  </si>
  <si>
    <t>J1-786/50053</t>
  </si>
  <si>
    <t>JPD/4005/2025-JC</t>
  </si>
  <si>
    <t>Other Charges</t>
  </si>
  <si>
    <t>Occupancy Fee Charges</t>
  </si>
  <si>
    <t>Furniture &amp; Fittings Charges</t>
  </si>
  <si>
    <t>Service &amp; Conservancy Charges</t>
  </si>
  <si>
    <t>Admin Fee for the Rejected GIRO ( 01-Dec-25 )</t>
  </si>
  <si>
    <t>J1-786/50461</t>
  </si>
  <si>
    <t>J1-786/45216</t>
  </si>
  <si>
    <t>Admin Fee For Late Payment - MAR  '25</t>
  </si>
  <si>
    <t>J1-786/45910</t>
  </si>
  <si>
    <t>Admin Fee For Late Payment - APR  '25</t>
  </si>
  <si>
    <t>Admin Fee For Late Payment - MAY  '25</t>
  </si>
  <si>
    <t>J1-786/46490</t>
  </si>
  <si>
    <t>J1-786/47021</t>
  </si>
  <si>
    <t>J1-786/47024</t>
  </si>
  <si>
    <t>Admin Fee For Late Payment - JUN  '25</t>
  </si>
  <si>
    <t>J1-786/47094</t>
  </si>
  <si>
    <t>JP1FM/2159</t>
  </si>
  <si>
    <t>JPD/3894/2025-JC</t>
  </si>
  <si>
    <t>ROOM ISSUES - MAINTENANCE/REPLACEMENT ETC AT JPD1, Block 52A #05-15 AS PER ONEFM CLIENT PAYMENT NOTICE ID:PYNIJPD1202509205282504</t>
  </si>
  <si>
    <t>JP1FM/2335</t>
  </si>
  <si>
    <t>JPD/3903/2025-JC</t>
  </si>
  <si>
    <t>ROOM ISSUES - MAINTENANCE/REPLACEMENT ETC AT JPD1, Block 50 #06-02 AS PER ONEFM CLIENT PAYMENT NOTICE ID:PYNIJPD1202512072489029</t>
  </si>
  <si>
    <t>J1-786/50381</t>
  </si>
  <si>
    <t>J1-786/50382</t>
  </si>
  <si>
    <t>JPD/3895/2025-JC</t>
  </si>
  <si>
    <t>J1-786/50383</t>
  </si>
  <si>
    <t>Journal</t>
  </si>
  <si>
    <t>BEING LTMC AR TRANSFERRED - MIRADOR BUILDING CONTRACTOR PTE LTD - INV:LTM-5884 .</t>
  </si>
  <si>
    <t>JPD1-1603</t>
  </si>
  <si>
    <t>ROOM ISSUES - MAINTENANCE/REPLACEMENT ETC AT JPD1, Block 50 #04-05 AS PER ONEFM CLIENT PAYMENT NOTICE ID:PYNIJPD1202406052752405</t>
  </si>
  <si>
    <t>JP1FM/782</t>
  </si>
  <si>
    <t>JPD/2987/2022-CY</t>
  </si>
  <si>
    <t>JP1FM/940</t>
  </si>
  <si>
    <t>JPD/3015/2022-CY</t>
  </si>
  <si>
    <t>ROOM ISSUES - MAINTENANCE/REPLACEMENT ETC AT JPD1, Block 56A #03-51 AS PER ONEFM CLIENT PAYMENT NOTICE ID:PYNIJPD1202406248453460</t>
  </si>
  <si>
    <t>ROOM ISSUES - MAINTENANCE/REPLACEMENT ETC AT JPD1, Block 56A #03-48 AS PER ONEFM CLIENT PAYMENT NOTICE ID:PYNIJPD1202409062058048</t>
  </si>
  <si>
    <t>JP1FM/1462</t>
  </si>
  <si>
    <t>JPD/3014/2022-CY</t>
  </si>
  <si>
    <t>ROOM ISSUES - MAINTENANCE/REPLACEMENT ETC AT JPD1, Block 50 #06-12 AS PER ONEFM CLIENT PAYMENT NOTICE ID:PYNIJPD1202407255055335</t>
  </si>
  <si>
    <t>JP1FM/1459</t>
  </si>
  <si>
    <t>JPD/3632/2024-JC</t>
  </si>
  <si>
    <t>ROOM ISSUES - MAINTENANCE/REPLACEMENT ETC AT JPD1, Block 54A #03-37 AS PER ONEFM CLIENT PAYMENT NOTICE ID:PYNIJPD1202408239657090</t>
  </si>
  <si>
    <t>JP1FM/1452</t>
  </si>
  <si>
    <t>JPD/3013/2022-CY</t>
  </si>
  <si>
    <t>JP1FM/1451</t>
  </si>
  <si>
    <t>ROOM ISSUES - MAINTENANCE/REPLACEMENT ETC AT JPD1, Block 54A #03-37 AS PER ONEFM CLIENT PAYMENT NOTICE ID:PYNIJPD1202408280657494</t>
  </si>
  <si>
    <t>JP1FM/1560</t>
  </si>
  <si>
    <t>JPD/3253/2023-HN</t>
  </si>
  <si>
    <t>TENANT TRANSFER AT JPD1 AS PER ONEFM CLIENT PAYMENT NOTICE ID: PYNJPD12024101640355578</t>
  </si>
  <si>
    <t>JP1FM/2306</t>
  </si>
  <si>
    <t>JPD/3910/2025-JC</t>
  </si>
  <si>
    <t>ROOM ISSUES - MAINTENANCE/REPLACEMENT ETC AT JPD1, Block 56A #06-53 AS PER ONEFM CLIENT PAYMENT NOTICE ID:PYNIJPD1202511235287696</t>
  </si>
  <si>
    <t>J1-786/50107</t>
  </si>
  <si>
    <t>JPD/3909/2025-JC</t>
  </si>
  <si>
    <t>J1-786/50108</t>
  </si>
  <si>
    <t>J1-786/50109</t>
  </si>
  <si>
    <t>J1-786/50110</t>
  </si>
  <si>
    <t>JPD/3736/2024-JC</t>
  </si>
  <si>
    <t>J1-786/50111</t>
  </si>
  <si>
    <t>JPD/3747/2024-JC</t>
  </si>
  <si>
    <t>J1-786/50112</t>
  </si>
  <si>
    <t>JPD/3748/2024-JC</t>
  </si>
  <si>
    <t>J1-786/50113</t>
  </si>
  <si>
    <t>JPD/3749/2024-JC</t>
  </si>
  <si>
    <t>J1-786/50114</t>
  </si>
  <si>
    <t>JPD/3907/2025-JC</t>
  </si>
  <si>
    <t>J1-786/50115</t>
  </si>
  <si>
    <t>JPD/3908/2025-JC</t>
  </si>
  <si>
    <t>Customer</t>
  </si>
  <si>
    <t>Transaction Type</t>
  </si>
  <si>
    <t>Company Name</t>
  </si>
  <si>
    <t>Date</t>
  </si>
  <si>
    <t>Description</t>
  </si>
  <si>
    <t>Document Number</t>
  </si>
  <si>
    <t>Linked Contract</t>
  </si>
  <si>
    <t>Linked Contract: Start Date</t>
  </si>
  <si>
    <t>P.O. No.</t>
  </si>
  <si>
    <t>Due Date</t>
  </si>
  <si>
    <t>Age</t>
  </si>
  <si>
    <t>Bucket</t>
  </si>
  <si>
    <t>Open Balance</t>
  </si>
  <si>
    <t>ROOM ISSUES - MAINTENANCE/REPLACEMENT ETC AT JPD1, Block 52B #04-24 AS PER ONEFM CLIENT PAYMENT NOTICE ID:PYNIJPD1202406224853336</t>
  </si>
  <si>
    <t>JP1FM/870</t>
  </si>
  <si>
    <t>JPD/3173/2023-CY</t>
  </si>
  <si>
    <t>JP1FM/1524</t>
  </si>
  <si>
    <t>ADMISSION TO SICKBAY AT JPD1 SIVAKUMAR PREMKUMAR FROM 27 September 2024 TO 03 October 2024 AS PER ONEFM CLIENT PAYMENT NOTICE ID: PYNJPD12024100680354396</t>
  </si>
  <si>
    <t>ADMISSION TO SICKBAY AT JPD1 ARUMUGAM KARUPPAIYAN FROM 18 October 2024 TO 19 October 2024 AS PER ONEFM CLIENT PAYMENT NOTICE ID: PYNJPD12024102111356090</t>
  </si>
  <si>
    <t>JP1FM/1576</t>
  </si>
  <si>
    <t>ADMISSION TO SICKBAY AT JPD1 ARUMUGAM KARUPPAIYAN FROM 11 October 2024 TO 17 October 2024 AS PER ONEFM CLIENT PAYMENT NOTICE ID: PYNJPD12024101256355100</t>
  </si>
  <si>
    <t>JP1FM/1575</t>
  </si>
  <si>
    <t>ADMISSION TO SICKBAY AT JPD1 CHITHIRAVEL NEELAKANDAN FROM 12 October 2024 TO 21 October 2024 AS PER ONEFM CLIENT PAYMENT NOTICE ID: PYNJPD12024101216355099</t>
  </si>
  <si>
    <t>JP1FM/1588</t>
  </si>
  <si>
    <t>ROOM ISSUES - MAINTENANCE/REPLACEMENT ETC AT JPD1, Block 52B #04-24 AS PER ONEFM CLIENT PAYMENT NOTICE ID:PYNIJPD1202511055986221</t>
  </si>
  <si>
    <t>JP1FM/2216</t>
  </si>
  <si>
    <t>JPD/3866/2024-JC</t>
  </si>
  <si>
    <t>J1-786/50049</t>
  </si>
  <si>
    <t>J1-786/50050</t>
  </si>
  <si>
    <t>JPD/3926/2025-JC</t>
  </si>
  <si>
    <t>Reimbursement of Stamp Duty REF NO: JPD/4152/2025 -  2511057192087</t>
  </si>
  <si>
    <t>J1-786/49929</t>
  </si>
  <si>
    <t>JPD/4152/2025-JC</t>
  </si>
  <si>
    <t>J1-786/50287</t>
  </si>
  <si>
    <t>Mini Environment Service Pte Ltd</t>
  </si>
  <si>
    <t>Mini Environment Service Pte Ltd : MES &amp; JPD Housing Pte Ltd</t>
  </si>
  <si>
    <t>Custom A/R Aging Detail - With description</t>
  </si>
  <si>
    <t>As of 22 December 2025</t>
  </si>
  <si>
    <t>DORM-1220 SOVEREIGN PTE. LTD.</t>
  </si>
  <si>
    <t>SOVEREIGN PTE. LTD.</t>
  </si>
  <si>
    <t>DORM-166 BURNING SUN PTE. LTD.</t>
  </si>
  <si>
    <t>Total - DORM-1220 SOVEREIGN PTE. LTD.</t>
  </si>
  <si>
    <t>BURNING SUN PTE. LTD.</t>
  </si>
  <si>
    <t>Total - DORM-166 BURNING SUN PTE. LTD.</t>
  </si>
  <si>
    <t>Quarterly Charges for Season Parking of Vehicle(s) at JPD 1 @ $50.00 per Month for the period: 01-Apr-25 To 30-Jun-25 Vehicle Reg No:  YQ 1940 U</t>
  </si>
  <si>
    <t>Quarterly Charges for Season Parking of Vehicle(s) at JPD 1 @ $50.00 per Month for the period: 01-Jun-25 To 31-Aug-25 Vehicle Reg No:  GBD 3847 J</t>
  </si>
  <si>
    <t>Quarterly Charges for Season Parking of Vehicle(s) at JPD 1 @ $50.00 per Month for the period: 01-Sep-25 To 30-SEP-25 Vehicle Reg No: GBD 3847 J</t>
  </si>
  <si>
    <t>DORM-1236 SKIBIDI PTE. LTD.</t>
  </si>
  <si>
    <t>Total - DORM-1236 SKIBIDI PTE. LTD.</t>
  </si>
  <si>
    <t>DORM-1561 SNEAKY TOASTER PTE LTD</t>
  </si>
  <si>
    <t>Total - DORM-1561 SNEAKY TOASTER PTE LTD</t>
  </si>
  <si>
    <t>SNEAKY TOASTER PTE LTD</t>
  </si>
  <si>
    <t>SKIBIDI PTE. LTD.</t>
  </si>
  <si>
    <t>DORM-187 CELLO LOVER PTE LTD</t>
  </si>
  <si>
    <t>Total - DORM-187 CELLO LOVER PTE LTD</t>
  </si>
  <si>
    <t>CELLO LOVER PTE LTD</t>
  </si>
  <si>
    <t>J1-786/48791</t>
  </si>
  <si>
    <t>TENANT TRANSFER AT JPD1 AS PER ONEFM CLIENT PAYMENT NOTICE ID: PYNJPD12025093050408713</t>
  </si>
  <si>
    <t>JP1FM/2172</t>
  </si>
  <si>
    <t>JPD/3445/2023-CY</t>
  </si>
  <si>
    <t>JP1FM/2185</t>
  </si>
  <si>
    <t>UNIT REINSTATEMENT WORKS FOR VACATED UNIT AT JPD1, Block 56B #04-59 AS PER ONEFM CLIENT PAYMENT NOTICE ID: PYNUJPD120250922041669 PLEASE TAKE NOTE THAT THIS INVOICE WILL BE DEDUCTED FROM YOUR SECURITY DEPOSIT UNDER THE TENANCY AND THIS INVOICE IS FOR YOUR RECORDS ONLY.</t>
  </si>
  <si>
    <t>J1-786/49405</t>
  </si>
  <si>
    <t>JPD/4111/2025-JC</t>
  </si>
  <si>
    <t>Security Deposit - REFUNDABLE ( Additional Deposit )</t>
  </si>
  <si>
    <t>Admin Fee - NON-REFUNDABLE</t>
  </si>
  <si>
    <t>J1-786/49805</t>
  </si>
  <si>
    <t>Reimbursement of Stamp Duty REF NO: JPD/4111/2025 -  2511057187460</t>
  </si>
  <si>
    <t>J1-786/49932</t>
  </si>
  <si>
    <t>Credit Memo</t>
  </si>
  <si>
    <t>REF NO: JPD/3445/2023 (Blk 56 - #04-59)   Please take note that this Credit Note will be offset to your Rental Outstanding and this is for your record only.</t>
  </si>
  <si>
    <t>JPD1-747</t>
  </si>
  <si>
    <t>Quarterly Charges for Season Parking of Vehicle(s) at JPD 1 @ $150.00 per Month for the period: 01-Dec-25 To 31-Dec-25 Vehicle Reg No: GBM 1936 B</t>
  </si>
  <si>
    <t>J1-786/49967</t>
  </si>
  <si>
    <t>JPD/4183/2025-JS</t>
  </si>
  <si>
    <t>One-time Issuance Fee - Bed Board, Storage Box, Bin and Broom</t>
  </si>
  <si>
    <t>Security Deposit - REFUNDABLE</t>
  </si>
  <si>
    <t>J1-786/50286</t>
  </si>
  <si>
    <t>DORM-979 PIANO TECHNICIAN PTE. LTD.</t>
  </si>
  <si>
    <t>Total - DORM-979 PIANO TECHNICIAN PTE. LTD.</t>
  </si>
  <si>
    <t>PIANO TECHNICIAN PTE. LTD.</t>
  </si>
  <si>
    <t>DORM-415 OKINAWAN PTE. LTD.</t>
  </si>
  <si>
    <t>Total - DORM-415 OKINAWAN PTE. LTD.</t>
  </si>
  <si>
    <t>OKINAWAN PTE. LTD.</t>
  </si>
  <si>
    <t>Current</t>
  </si>
  <si>
    <t>More than 90 days</t>
  </si>
  <si>
    <t>90 days</t>
  </si>
  <si>
    <t>Industry Type: Name</t>
  </si>
  <si>
    <t>Month</t>
  </si>
  <si>
    <t>Entity</t>
  </si>
  <si>
    <t>Dormitory</t>
  </si>
  <si>
    <t>30/11/2025 - 29/12/2025 (30)</t>
  </si>
  <si>
    <t>31/10/2025 - 29/11/2025 (60)</t>
  </si>
  <si>
    <t>1/10/2025 - 30/10/2025 (90)</t>
  </si>
  <si>
    <t>Before 1/10/2025 (&gt;90)</t>
  </si>
  <si>
    <t>Total</t>
  </si>
  <si>
    <t>Process</t>
  </si>
  <si>
    <t>MES &amp; JPD Housing Pte Ltd</t>
  </si>
  <si>
    <t>JPD1</t>
  </si>
  <si>
    <t>Construction</t>
  </si>
  <si>
    <t>Kaki Bukit Developments Pte Ltd</t>
  </si>
  <si>
    <t>LEO</t>
  </si>
  <si>
    <t>KT Mesdorm Pte Ltd</t>
  </si>
  <si>
    <t>BSD</t>
  </si>
  <si>
    <t>Manufacturing</t>
  </si>
  <si>
    <t>Services</t>
  </si>
  <si>
    <t>JPD2</t>
  </si>
  <si>
    <t>DORM-1836 WINSTON CHURCHILL PTE. LTD.</t>
  </si>
  <si>
    <t>DORM-1600 MODERN WELLNESS PTE. LTD.</t>
  </si>
  <si>
    <t>Blue Stars Dormitory</t>
  </si>
  <si>
    <t>ID</t>
  </si>
  <si>
    <t>Outstanding if any</t>
  </si>
  <si>
    <t>Remarks</t>
  </si>
  <si>
    <t>The Leo</t>
  </si>
  <si>
    <t>DORM-1599</t>
  </si>
  <si>
    <t>DORM-471</t>
  </si>
  <si>
    <t xml:space="preserve">Jurong Penjuru Dormitory 1 </t>
  </si>
  <si>
    <t>DORM-1576</t>
  </si>
  <si>
    <t>DORM-1570</t>
  </si>
  <si>
    <t>DORM-537</t>
  </si>
  <si>
    <t>Security deposit</t>
  </si>
  <si>
    <t>DORM-1779</t>
  </si>
  <si>
    <t>November and December rentals</t>
  </si>
  <si>
    <t>VOLDEMORT</t>
  </si>
  <si>
    <t>Jurong Penjuru Dormitory  2</t>
  </si>
  <si>
    <t>ZUMBA PTE. LTD.</t>
  </si>
  <si>
    <t xml:space="preserve">DORM-1571 </t>
  </si>
  <si>
    <t>WELL COME  PTE LTD</t>
  </si>
  <si>
    <t xml:space="preserve">DORM-211 </t>
  </si>
  <si>
    <t>JOLLY JOLLY PTE LTD</t>
  </si>
  <si>
    <t xml:space="preserve">DORM-614 </t>
  </si>
  <si>
    <t xml:space="preserve">DORM-1220 </t>
  </si>
  <si>
    <t>DORM-707 ORION PTE. LTD.</t>
  </si>
  <si>
    <t>DORM-87 SUNNY ECLIPSE PTE. LTD.</t>
  </si>
  <si>
    <t>DORM-108 NIGHTFALL PTE LTD</t>
  </si>
  <si>
    <t>DORM-144 INSTAGRAM PTE. LTD.</t>
  </si>
  <si>
    <t>DORM-1364</t>
  </si>
  <si>
    <t>THEODORE ROOSEVELT PTE. LTD.</t>
  </si>
  <si>
    <t>VIVACIOUS PTE. LTD.</t>
  </si>
  <si>
    <t xml:space="preserve">DORM-1661 </t>
  </si>
  <si>
    <t>HAWAIIAN PTE. LTD.</t>
  </si>
  <si>
    <t xml:space="preserve">DORM-1596 </t>
  </si>
  <si>
    <t>GOBLIN MODE PTE LTD</t>
  </si>
  <si>
    <t xml:space="preserve">DORM-641 </t>
  </si>
  <si>
    <t>GEORGE WASHINGTON PTE. LTD.</t>
  </si>
  <si>
    <t>Grand Total</t>
  </si>
  <si>
    <t>Email Address</t>
  </si>
  <si>
    <t>LOCKHART</t>
  </si>
  <si>
    <t>APPLE PTE. LTD.</t>
  </si>
  <si>
    <t>SUNNY MAY PTE. LTD.</t>
  </si>
  <si>
    <t xml:space="preserve">DORM-1224 </t>
  </si>
  <si>
    <t>CAMPBELL PTE. LTD.</t>
  </si>
  <si>
    <t xml:space="preserve">DORM-244 </t>
  </si>
  <si>
    <t>NEW YORK MARINE PTE. LTD.</t>
  </si>
  <si>
    <t xml:space="preserve">DORM-932 </t>
  </si>
  <si>
    <t xml:space="preserve">DORM-415 </t>
  </si>
  <si>
    <t>DORM-1451</t>
  </si>
  <si>
    <t>CHINA SEA PTE LTD</t>
  </si>
  <si>
    <t>YOUTUBE PTE. LTD.</t>
  </si>
  <si>
    <t>TELEGRAM PTE. LTD.</t>
  </si>
  <si>
    <t xml:space="preserve">DORM-830 </t>
  </si>
  <si>
    <t>VERIFICATION PTE. LTD.</t>
  </si>
  <si>
    <t xml:space="preserve">DORM-1369 </t>
  </si>
  <si>
    <t xml:space="preserve">DORM-1236 </t>
  </si>
  <si>
    <t>DORM-1647</t>
  </si>
  <si>
    <t>TAXATION PRIVATE LIMITED</t>
  </si>
  <si>
    <t xml:space="preserve">DORM-1364 </t>
  </si>
  <si>
    <t>CONTROL GLOBAL PTE. LTD.</t>
  </si>
  <si>
    <t>DORM-1235</t>
  </si>
  <si>
    <t>THOMAS EDISON PTE. LTD.</t>
  </si>
  <si>
    <t>KEYBOARD GOBLIN PTE. LTD.</t>
  </si>
  <si>
    <t>DORM-1584</t>
  </si>
  <si>
    <t xml:space="preserve">DORM-1647 </t>
  </si>
  <si>
    <t>CROISSANT PTE. LTD.</t>
  </si>
  <si>
    <t>serene@zumba.com; chee@zumba.com</t>
  </si>
  <si>
    <t>jollyjolly@hotmail.com</t>
  </si>
  <si>
    <t>accounts@sovereign.com.sg; hr@sovereign.com.sg; ap@sovereign.com.sg</t>
  </si>
  <si>
    <t>iling@wellcome.com.sg; shirlene@wellcome.com.sg; zheng@wellcome.com.sg; welda@wellcome.com.sg; levine@wellcome.com.sg&gt;</t>
  </si>
  <si>
    <t>ali@vivacious.com.sg</t>
  </si>
  <si>
    <t>pineapple@hawaiian.com; pizza@hawaiian.com; salsa@hawaiian.com</t>
  </si>
  <si>
    <t>troy@goblin.com.sg; rani@goblin.com.sg; light@goblin.com; zhizhi@goblin.com</t>
  </si>
  <si>
    <t>georgewashington@gmail.com; g.washington@gmail.com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</si>
</sst>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S$&quot;#,##0.00"/>
    <numFmt numFmtId="172" formatCode="_-* #,##0.00_-;\-* #,##0.00_-;_-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indexed="8"/>
      <name val="Arial"/>
    </font>
    <font>
      <sz val="8"/>
      <color indexed="8"/>
      <name val="Arial"/>
    </font>
    <font>
      <sz val="8"/>
      <name val="Arial"/>
      <family val="2"/>
    </font>
    <font>
      <sz val="10"/>
      <color indexed="8"/>
      <name val="Arial"/>
      <family val="2"/>
    </font>
    <font>
      <b/>
      <sz val="7"/>
      <name val="Arial"/>
    </font>
    <font>
      <b/>
      <sz val="10"/>
      <name val="Arial"/>
      <family val="2"/>
    </font>
    <font>
      <b/>
      <sz val="12"/>
      <name val="Arial"/>
    </font>
    <font>
      <b/>
      <sz val="14"/>
      <name val="Arial"/>
    </font>
    <font>
      <sz val="10"/>
      <name val="Arial"/>
      <family val="2"/>
    </font>
    <font>
      <sz val="8"/>
      <name val="Arial"/>
    </font>
    <font>
      <u/>
      <sz val="11"/>
      <color theme="10"/>
      <name val="Aptos Narrow"/>
      <family val="2"/>
      <scheme val="minor"/>
    </font>
    <font>
      <b/>
      <sz val="11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</fills>
  <borders count="11">
    <border>
      <left/>
      <right/>
      <top/>
      <bottom/>
      <diagonal/>
    </border>
    <border>
      <left/>
      <right/>
      <top style="dashed">
        <color rgb="FFCCCCCC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/>
    <xf numFmtId="172" fontId="1" fillId="0" borderId="0" applyFont="0" applyFill="0" applyBorder="0" applyAlignment="0" applyProtection="0"/>
    <xf numFmtId="0" fontId="12" fillId="0" borderId="0"/>
    <xf numFmtId="0" fontId="13" fillId="0" borderId="0" applyNumberFormat="0" applyFill="0" applyBorder="0" applyAlignment="0" applyProtection="0"/>
  </cellStyleXfs>
  <cellXfs count="65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left" vertical="center"/>
    </xf>
    <xf numFmtId="3" fontId="6" fillId="0" borderId="0" xfId="2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indent="1"/>
    </xf>
    <xf numFmtId="3" fontId="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right"/>
    </xf>
    <xf numFmtId="0" fontId="8" fillId="2" borderId="0" xfId="2" applyFont="1" applyFill="1" applyAlignment="1">
      <alignment horizontal="righ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Fill="1" applyAlignment="1">
      <alignment horizontal="left" indent="1"/>
    </xf>
    <xf numFmtId="0" fontId="4" fillId="0" borderId="0" xfId="0" applyFont="1" applyFill="1" applyAlignment="1">
      <alignment horizontal="left" vertical="center"/>
    </xf>
    <xf numFmtId="14" fontId="4" fillId="0" borderId="0" xfId="0" applyNumberFormat="1" applyFont="1" applyFill="1" applyAlignment="1">
      <alignment horizontal="left" vertical="center"/>
    </xf>
    <xf numFmtId="3" fontId="4" fillId="0" borderId="0" xfId="0" applyNumberFormat="1" applyFont="1" applyFill="1" applyAlignment="1">
      <alignment horizontal="right" vertical="center"/>
    </xf>
    <xf numFmtId="3" fontId="6" fillId="0" borderId="0" xfId="2" applyNumberFormat="1" applyFont="1" applyFill="1" applyAlignment="1">
      <alignment horizontal="right" vertical="center"/>
    </xf>
    <xf numFmtId="164" fontId="4" fillId="0" borderId="0" xfId="0" applyNumberFormat="1" applyFont="1" applyFill="1" applyAlignment="1">
      <alignment horizontal="right" vertical="center"/>
    </xf>
    <xf numFmtId="0" fontId="0" fillId="0" borderId="0" xfId="0" applyFill="1"/>
    <xf numFmtId="0" fontId="8" fillId="2" borderId="0" xfId="0" applyFont="1" applyFill="1" applyAlignment="1">
      <alignment horizontal="left"/>
    </xf>
    <xf numFmtId="0" fontId="0" fillId="0" borderId="0" xfId="0"/>
    <xf numFmtId="0" fontId="11" fillId="0" borderId="0" xfId="0" applyFont="1"/>
    <xf numFmtId="43" fontId="8" fillId="2" borderId="0" xfId="1" applyFont="1" applyFill="1" applyAlignment="1">
      <alignment horizontal="right"/>
    </xf>
    <xf numFmtId="43" fontId="11" fillId="0" borderId="0" xfId="1" applyFont="1"/>
    <xf numFmtId="17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3" fontId="6" fillId="0" borderId="0" xfId="1" applyFont="1" applyBorder="1" applyAlignment="1">
      <alignment horizontal="right" vertical="center"/>
    </xf>
    <xf numFmtId="43" fontId="6" fillId="0" borderId="0" xfId="1" applyFont="1" applyAlignment="1">
      <alignment horizontal="right" vertical="center"/>
    </xf>
    <xf numFmtId="0" fontId="14" fillId="2" borderId="0" xfId="0" applyFont="1" applyFill="1" applyAlignment="1">
      <alignment horizontal="left"/>
    </xf>
    <xf numFmtId="0" fontId="14" fillId="2" borderId="0" xfId="0" applyFont="1" applyFill="1" applyAlignment="1">
      <alignment horizontal="right"/>
    </xf>
    <xf numFmtId="0" fontId="14" fillId="2" borderId="0" xfId="2" applyFont="1" applyFill="1" applyAlignment="1">
      <alignment horizontal="right"/>
    </xf>
    <xf numFmtId="0" fontId="0" fillId="0" borderId="0" xfId="0" applyFont="1"/>
    <xf numFmtId="0" fontId="15" fillId="0" borderId="0" xfId="0" applyFont="1" applyAlignment="1">
      <alignment horizontal="left" indent="1"/>
    </xf>
    <xf numFmtId="0" fontId="15" fillId="0" borderId="0" xfId="0" applyFont="1" applyAlignment="1">
      <alignment horizontal="left" vertical="center"/>
    </xf>
    <xf numFmtId="14" fontId="15" fillId="0" borderId="0" xfId="0" applyNumberFormat="1" applyFont="1" applyAlignment="1">
      <alignment horizontal="left" vertical="center"/>
    </xf>
    <xf numFmtId="3" fontId="15" fillId="0" borderId="0" xfId="0" applyNumberFormat="1" applyFont="1" applyAlignment="1">
      <alignment horizontal="right" vertical="center"/>
    </xf>
    <xf numFmtId="3" fontId="15" fillId="0" borderId="0" xfId="2" applyNumberFormat="1" applyFont="1" applyAlignment="1">
      <alignment horizontal="right" vertical="center"/>
    </xf>
    <xf numFmtId="164" fontId="15" fillId="0" borderId="0" xfId="0" applyNumberFormat="1" applyFont="1" applyAlignment="1">
      <alignment horizontal="right" vertical="center"/>
    </xf>
    <xf numFmtId="0" fontId="2" fillId="0" borderId="2" xfId="0" applyFont="1" applyBorder="1"/>
    <xf numFmtId="0" fontId="0" fillId="0" borderId="3" xfId="0" applyBorder="1"/>
    <xf numFmtId="43" fontId="0" fillId="0" borderId="4" xfId="1" applyFont="1" applyBorder="1"/>
    <xf numFmtId="0" fontId="2" fillId="0" borderId="5" xfId="0" applyFont="1" applyBorder="1"/>
    <xf numFmtId="0" fontId="2" fillId="0" borderId="6" xfId="0" applyFont="1" applyBorder="1"/>
    <xf numFmtId="43" fontId="2" fillId="0" borderId="7" xfId="1" applyFont="1" applyBorder="1"/>
    <xf numFmtId="0" fontId="0" fillId="0" borderId="8" xfId="0" applyBorder="1"/>
    <xf numFmtId="43" fontId="0" fillId="0" borderId="8" xfId="1" applyFont="1" applyBorder="1"/>
    <xf numFmtId="0" fontId="2" fillId="0" borderId="9" xfId="0" applyFont="1" applyBorder="1"/>
    <xf numFmtId="43" fontId="0" fillId="0" borderId="10" xfId="1" applyFont="1" applyBorder="1"/>
    <xf numFmtId="43" fontId="11" fillId="0" borderId="0" xfId="0" applyNumberFormat="1" applyFont="1"/>
    <xf numFmtId="0" fontId="11" fillId="0" borderId="0" xfId="2" applyFont="1"/>
    <xf numFmtId="0" fontId="11" fillId="0" borderId="0" xfId="2" applyFont="1"/>
    <xf numFmtId="0" fontId="11" fillId="0" borderId="0" xfId="2" applyFont="1"/>
    <xf numFmtId="0" fontId="0" fillId="0" borderId="0" xfId="0"/>
    <xf numFmtId="0" fontId="11" fillId="0" borderId="0" xfId="0" applyFont="1"/>
    <xf numFmtId="0" fontId="11" fillId="0" borderId="0" xfId="2" applyFont="1"/>
    <xf numFmtId="0" fontId="13" fillId="0" borderId="0" xfId="5"/>
    <xf numFmtId="43" fontId="11" fillId="0" borderId="0" xfId="0" applyNumberFormat="1" applyFont="1" applyFill="1" applyBorder="1"/>
    <xf numFmtId="43" fontId="0" fillId="0" borderId="0" xfId="1" applyFont="1" applyFill="1" applyBorder="1"/>
    <xf numFmtId="0" fontId="11" fillId="0" borderId="0" xfId="0" applyFont="1"/>
  </cellXfs>
  <cellStyles count="6">
    <cellStyle name="Comma" xfId="1" builtinId="3"/>
    <cellStyle name="Comma 2" xfId="3" xr:uid="{59A27F26-60DD-4B01-8155-F98EE3736164}"/>
    <cellStyle name="Hyperlink" xfId="5" builtinId="8"/>
    <cellStyle name="Normal" xfId="0" builtinId="0"/>
    <cellStyle name="Normal 2" xfId="2" xr:uid="{32F70E37-97F7-46F5-8D06-67DCB55D2844}"/>
    <cellStyle name="Normal 2 2" xfId="4" xr:uid="{79F37550-20C6-45E2-882A-B23573524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ali@vivacious.com.sg" TargetMode="External"/><Relationship Id="rId2" Type="http://schemas.openxmlformats.org/officeDocument/2006/relationships/hyperlink" Target="mailto:jollyjolly@hotmail.com" TargetMode="External"/><Relationship Id="rId1" Type="http://schemas.openxmlformats.org/officeDocument/2006/relationships/hyperlink" Target="mailto:serene.goh@cctvsurvey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5E22A-4FA7-4F55-B9BA-278EEDB7623B}">
  <dimension ref="A1:M192"/>
  <sheetViews>
    <sheetView workbookViewId="0">
      <pane ySplit="6" topLeftCell="A173" activePane="bottomLeft" state="frozen"/>
      <selection pane="bottomLeft" activeCell="E181" sqref="E181"/>
    </sheetView>
  </sheetViews>
  <sheetFormatPr defaultRowHeight="15" x14ac:dyDescent="0.25"/>
  <cols>
    <col min="3" max="3" width="29" customWidth="1"/>
    <col min="5" max="5" width="81" customWidth="1"/>
    <col min="13" max="13" width="11.28515625" bestFit="1" customWidth="1"/>
  </cols>
  <sheetData>
    <row r="1" spans="1:13" ht="15.75" x14ac:dyDescent="0.25">
      <c r="A1" s="16" t="s">
        <v>108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.75" x14ac:dyDescent="0.25">
      <c r="A2" s="16" t="s">
        <v>109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8" x14ac:dyDescent="0.25">
      <c r="A3" s="17" t="s">
        <v>110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8" x14ac:dyDescent="0.25">
      <c r="A4" s="17" t="s">
        <v>111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6" spans="1:13" x14ac:dyDescent="0.25">
      <c r="A6" s="13" t="s">
        <v>74</v>
      </c>
      <c r="B6" s="13" t="s">
        <v>75</v>
      </c>
      <c r="C6" s="13" t="s">
        <v>76</v>
      </c>
      <c r="D6" s="13" t="s">
        <v>77</v>
      </c>
      <c r="E6" s="13" t="s">
        <v>78</v>
      </c>
      <c r="F6" s="13" t="s">
        <v>79</v>
      </c>
      <c r="G6" s="13" t="s">
        <v>80</v>
      </c>
      <c r="H6" s="13" t="s">
        <v>81</v>
      </c>
      <c r="I6" s="13" t="s">
        <v>82</v>
      </c>
      <c r="J6" s="13" t="s">
        <v>83</v>
      </c>
      <c r="K6" s="14" t="s">
        <v>84</v>
      </c>
      <c r="L6" s="15" t="s">
        <v>85</v>
      </c>
      <c r="M6" s="14" t="s">
        <v>86</v>
      </c>
    </row>
    <row r="7" spans="1:13" x14ac:dyDescent="0.25">
      <c r="A7" s="1" t="s">
        <v>112</v>
      </c>
      <c r="B7" s="2"/>
      <c r="C7" s="2"/>
      <c r="D7" s="3"/>
      <c r="E7" s="2"/>
      <c r="F7" s="2"/>
      <c r="G7" s="2"/>
      <c r="H7" s="3"/>
      <c r="I7" s="2"/>
      <c r="J7" s="3"/>
      <c r="K7" s="4"/>
      <c r="L7" s="5" t="str">
        <f t="shared" ref="L7:L70" si="0">IF(K7&lt;=15,"Current",IF(AND(K7&gt;15,K7&lt;=45),"30 days",IF(AND(K7&gt;45,K7&lt;=75),"60 days",IF(AND(K7&gt;75,K7&lt;=105),"90 days","More than 90 days"))))</f>
        <v>Current</v>
      </c>
      <c r="M7" s="6"/>
    </row>
    <row r="8" spans="1:13" x14ac:dyDescent="0.25">
      <c r="A8" s="7"/>
      <c r="B8" s="2" t="s">
        <v>0</v>
      </c>
      <c r="C8" s="2" t="s">
        <v>113</v>
      </c>
      <c r="D8" s="3">
        <v>45740</v>
      </c>
      <c r="E8" s="2" t="s">
        <v>1</v>
      </c>
      <c r="F8" s="2" t="s">
        <v>2</v>
      </c>
      <c r="G8" s="2"/>
      <c r="H8" s="3"/>
      <c r="I8" s="2"/>
      <c r="J8" s="3">
        <v>45755</v>
      </c>
      <c r="K8" s="8">
        <v>258</v>
      </c>
      <c r="L8" s="5" t="str">
        <f t="shared" si="0"/>
        <v>More than 90 days</v>
      </c>
      <c r="M8" s="6">
        <v>10</v>
      </c>
    </row>
    <row r="9" spans="1:13" x14ac:dyDescent="0.25">
      <c r="A9" s="7"/>
      <c r="B9" s="2" t="s">
        <v>0</v>
      </c>
      <c r="C9" s="2" t="s">
        <v>113</v>
      </c>
      <c r="D9" s="3">
        <v>45740</v>
      </c>
      <c r="E9" s="2" t="s">
        <v>118</v>
      </c>
      <c r="F9" s="2" t="s">
        <v>2</v>
      </c>
      <c r="G9" s="2"/>
      <c r="H9" s="3"/>
      <c r="I9" s="2"/>
      <c r="J9" s="3">
        <v>45755</v>
      </c>
      <c r="K9" s="8">
        <v>258</v>
      </c>
      <c r="L9" s="5" t="str">
        <f t="shared" si="0"/>
        <v>More than 90 days</v>
      </c>
      <c r="M9" s="6">
        <v>250</v>
      </c>
    </row>
    <row r="10" spans="1:13" x14ac:dyDescent="0.25">
      <c r="A10" s="7"/>
      <c r="B10" s="2" t="s">
        <v>0</v>
      </c>
      <c r="C10" s="2" t="s">
        <v>113</v>
      </c>
      <c r="D10" s="3">
        <v>46006</v>
      </c>
      <c r="E10" s="2" t="s">
        <v>3</v>
      </c>
      <c r="F10" s="2" t="s">
        <v>4</v>
      </c>
      <c r="G10" s="2" t="s">
        <v>5</v>
      </c>
      <c r="H10" s="3">
        <v>45778</v>
      </c>
      <c r="I10" s="2"/>
      <c r="J10" s="3">
        <v>46021</v>
      </c>
      <c r="K10" s="8">
        <v>-8</v>
      </c>
      <c r="L10" s="5" t="str">
        <f t="shared" si="0"/>
        <v>Current</v>
      </c>
      <c r="M10" s="6">
        <v>56</v>
      </c>
    </row>
    <row r="11" spans="1:13" x14ac:dyDescent="0.25">
      <c r="A11" s="7"/>
      <c r="B11" s="2" t="s">
        <v>0</v>
      </c>
      <c r="C11" s="2" t="s">
        <v>113</v>
      </c>
      <c r="D11" s="3">
        <v>46006</v>
      </c>
      <c r="E11" s="2" t="s">
        <v>6</v>
      </c>
      <c r="F11" s="2" t="s">
        <v>4</v>
      </c>
      <c r="G11" s="2" t="s">
        <v>5</v>
      </c>
      <c r="H11" s="3">
        <v>45778</v>
      </c>
      <c r="I11" s="2"/>
      <c r="J11" s="3">
        <v>46021</v>
      </c>
      <c r="K11" s="8">
        <v>-8</v>
      </c>
      <c r="L11" s="5" t="str">
        <f t="shared" si="0"/>
        <v>Current</v>
      </c>
      <c r="M11" s="6">
        <v>68</v>
      </c>
    </row>
    <row r="12" spans="1:13" x14ac:dyDescent="0.25">
      <c r="A12" s="7"/>
      <c r="B12" s="2" t="s">
        <v>0</v>
      </c>
      <c r="C12" s="2" t="s">
        <v>113</v>
      </c>
      <c r="D12" s="3">
        <v>46006</v>
      </c>
      <c r="E12" s="2" t="s">
        <v>7</v>
      </c>
      <c r="F12" s="2" t="s">
        <v>4</v>
      </c>
      <c r="G12" s="2" t="s">
        <v>5</v>
      </c>
      <c r="H12" s="3">
        <v>45778</v>
      </c>
      <c r="I12" s="2"/>
      <c r="J12" s="3">
        <v>46021</v>
      </c>
      <c r="K12" s="8">
        <v>-8</v>
      </c>
      <c r="L12" s="5" t="str">
        <f t="shared" si="0"/>
        <v>Current</v>
      </c>
      <c r="M12" s="6">
        <v>1500</v>
      </c>
    </row>
    <row r="13" spans="1:13" x14ac:dyDescent="0.25">
      <c r="A13" s="7"/>
      <c r="B13" s="2" t="s">
        <v>0</v>
      </c>
      <c r="C13" s="2" t="s">
        <v>113</v>
      </c>
      <c r="D13" s="3">
        <v>46006</v>
      </c>
      <c r="E13" s="2" t="s">
        <v>8</v>
      </c>
      <c r="F13" s="2" t="s">
        <v>4</v>
      </c>
      <c r="G13" s="2" t="s">
        <v>5</v>
      </c>
      <c r="H13" s="3">
        <v>45778</v>
      </c>
      <c r="I13" s="2"/>
      <c r="J13" s="3">
        <v>46021</v>
      </c>
      <c r="K13" s="8">
        <v>-8</v>
      </c>
      <c r="L13" s="5" t="str">
        <f t="shared" si="0"/>
        <v>Current</v>
      </c>
      <c r="M13" s="6">
        <v>80</v>
      </c>
    </row>
    <row r="14" spans="1:13" x14ac:dyDescent="0.25">
      <c r="A14" s="7"/>
      <c r="B14" s="2" t="s">
        <v>0</v>
      </c>
      <c r="C14" s="2" t="s">
        <v>113</v>
      </c>
      <c r="D14" s="3">
        <v>46006</v>
      </c>
      <c r="E14" s="2" t="s">
        <v>1</v>
      </c>
      <c r="F14" s="2" t="s">
        <v>4</v>
      </c>
      <c r="G14" s="2" t="s">
        <v>5</v>
      </c>
      <c r="H14" s="3">
        <v>45778</v>
      </c>
      <c r="I14" s="2"/>
      <c r="J14" s="3">
        <v>46021</v>
      </c>
      <c r="K14" s="8">
        <v>-8</v>
      </c>
      <c r="L14" s="5" t="str">
        <f t="shared" si="0"/>
        <v>Current</v>
      </c>
      <c r="M14" s="6">
        <v>10</v>
      </c>
    </row>
    <row r="15" spans="1:13" x14ac:dyDescent="0.25">
      <c r="A15" s="7"/>
      <c r="B15" s="2" t="s">
        <v>0</v>
      </c>
      <c r="C15" s="2" t="s">
        <v>113</v>
      </c>
      <c r="D15" s="3">
        <v>46006</v>
      </c>
      <c r="E15" s="2" t="s">
        <v>9</v>
      </c>
      <c r="F15" s="2" t="s">
        <v>4</v>
      </c>
      <c r="G15" s="2" t="s">
        <v>5</v>
      </c>
      <c r="H15" s="3">
        <v>45778</v>
      </c>
      <c r="I15" s="2"/>
      <c r="J15" s="3">
        <v>46021</v>
      </c>
      <c r="K15" s="8">
        <v>-8</v>
      </c>
      <c r="L15" s="5" t="str">
        <f t="shared" si="0"/>
        <v>Current</v>
      </c>
      <c r="M15" s="6">
        <v>88</v>
      </c>
    </row>
    <row r="16" spans="1:13" x14ac:dyDescent="0.25">
      <c r="A16" s="7"/>
      <c r="B16" s="2" t="s">
        <v>0</v>
      </c>
      <c r="C16" s="2" t="s">
        <v>113</v>
      </c>
      <c r="D16" s="3">
        <v>46010</v>
      </c>
      <c r="E16" s="2" t="s">
        <v>10</v>
      </c>
      <c r="F16" s="2" t="s">
        <v>11</v>
      </c>
      <c r="G16" s="2"/>
      <c r="H16" s="3"/>
      <c r="I16" s="2"/>
      <c r="J16" s="3">
        <v>46025</v>
      </c>
      <c r="K16" s="8">
        <v>-12</v>
      </c>
      <c r="L16" s="5" t="str">
        <f t="shared" si="0"/>
        <v>Current</v>
      </c>
      <c r="M16" s="6">
        <v>20</v>
      </c>
    </row>
    <row r="17" spans="1:13" x14ac:dyDescent="0.25">
      <c r="A17" s="7"/>
      <c r="B17" s="2" t="s">
        <v>0</v>
      </c>
      <c r="C17" s="2" t="s">
        <v>113</v>
      </c>
      <c r="D17" s="3">
        <v>46010</v>
      </c>
      <c r="E17" s="2" t="s">
        <v>1</v>
      </c>
      <c r="F17" s="2" t="s">
        <v>11</v>
      </c>
      <c r="G17" s="2"/>
      <c r="H17" s="3"/>
      <c r="I17" s="2"/>
      <c r="J17" s="3">
        <v>46025</v>
      </c>
      <c r="K17" s="8">
        <v>-12</v>
      </c>
      <c r="L17" s="5" t="str">
        <f t="shared" si="0"/>
        <v>Current</v>
      </c>
      <c r="M17" s="6">
        <v>10</v>
      </c>
    </row>
    <row r="18" spans="1:13" x14ac:dyDescent="0.25">
      <c r="A18" s="1" t="s">
        <v>115</v>
      </c>
      <c r="B18" s="9"/>
      <c r="C18" s="9"/>
      <c r="D18" s="10"/>
      <c r="E18" s="9"/>
      <c r="F18" s="9"/>
      <c r="G18" s="9"/>
      <c r="H18" s="10"/>
      <c r="I18" s="9"/>
      <c r="J18" s="10"/>
      <c r="K18" s="11"/>
      <c r="L18" s="5" t="str">
        <f t="shared" si="0"/>
        <v>Current</v>
      </c>
      <c r="M18" s="12">
        <f>SUM(M8:M17)</f>
        <v>2092</v>
      </c>
    </row>
    <row r="19" spans="1:13" x14ac:dyDescent="0.25">
      <c r="A19" s="1" t="s">
        <v>114</v>
      </c>
      <c r="B19" s="2"/>
      <c r="C19" s="2"/>
      <c r="D19" s="3"/>
      <c r="E19" s="2"/>
      <c r="F19" s="2"/>
      <c r="G19" s="2"/>
      <c r="H19" s="3"/>
      <c r="I19" s="2"/>
      <c r="J19" s="3"/>
      <c r="K19" s="4"/>
      <c r="L19" s="5" t="str">
        <f t="shared" si="0"/>
        <v>Current</v>
      </c>
      <c r="M19" s="6"/>
    </row>
    <row r="20" spans="1:13" x14ac:dyDescent="0.25">
      <c r="A20" s="7"/>
      <c r="B20" s="2" t="s">
        <v>0</v>
      </c>
      <c r="C20" s="2" t="s">
        <v>116</v>
      </c>
      <c r="D20" s="3">
        <v>45740</v>
      </c>
      <c r="E20" s="2" t="s">
        <v>1</v>
      </c>
      <c r="F20" s="2" t="s">
        <v>12</v>
      </c>
      <c r="G20" s="2"/>
      <c r="H20" s="3"/>
      <c r="I20" s="2"/>
      <c r="J20" s="3">
        <v>45755</v>
      </c>
      <c r="K20" s="8">
        <v>258</v>
      </c>
      <c r="L20" s="5" t="str">
        <f t="shared" si="0"/>
        <v>More than 90 days</v>
      </c>
      <c r="M20" s="6">
        <v>10</v>
      </c>
    </row>
    <row r="21" spans="1:13" x14ac:dyDescent="0.25">
      <c r="A21" s="7"/>
      <c r="B21" s="2" t="s">
        <v>0</v>
      </c>
      <c r="C21" s="2" t="s">
        <v>116</v>
      </c>
      <c r="D21" s="3">
        <v>45740</v>
      </c>
      <c r="E21" s="2" t="s">
        <v>13</v>
      </c>
      <c r="F21" s="2" t="s">
        <v>12</v>
      </c>
      <c r="G21" s="2"/>
      <c r="H21" s="3"/>
      <c r="I21" s="2"/>
      <c r="J21" s="3">
        <v>45755</v>
      </c>
      <c r="K21" s="8">
        <v>258</v>
      </c>
      <c r="L21" s="5" t="str">
        <f t="shared" si="0"/>
        <v>More than 90 days</v>
      </c>
      <c r="M21" s="6">
        <v>20</v>
      </c>
    </row>
    <row r="22" spans="1:13" x14ac:dyDescent="0.25">
      <c r="A22" s="7"/>
      <c r="B22" s="2" t="s">
        <v>0</v>
      </c>
      <c r="C22" s="2" t="s">
        <v>116</v>
      </c>
      <c r="D22" s="3">
        <v>45770</v>
      </c>
      <c r="E22" s="2" t="s">
        <v>1</v>
      </c>
      <c r="F22" s="2" t="s">
        <v>14</v>
      </c>
      <c r="G22" s="2"/>
      <c r="H22" s="3"/>
      <c r="I22" s="2"/>
      <c r="J22" s="3">
        <v>45785</v>
      </c>
      <c r="K22" s="8">
        <v>228</v>
      </c>
      <c r="L22" s="5" t="str">
        <f t="shared" si="0"/>
        <v>More than 90 days</v>
      </c>
      <c r="M22" s="6">
        <v>10</v>
      </c>
    </row>
    <row r="23" spans="1:13" x14ac:dyDescent="0.25">
      <c r="A23" s="7"/>
      <c r="B23" s="2" t="s">
        <v>0</v>
      </c>
      <c r="C23" s="2" t="s">
        <v>116</v>
      </c>
      <c r="D23" s="3">
        <v>45770</v>
      </c>
      <c r="E23" s="2" t="s">
        <v>15</v>
      </c>
      <c r="F23" s="2" t="s">
        <v>14</v>
      </c>
      <c r="G23" s="2"/>
      <c r="H23" s="3"/>
      <c r="I23" s="2"/>
      <c r="J23" s="3">
        <v>45785</v>
      </c>
      <c r="K23" s="8">
        <v>228</v>
      </c>
      <c r="L23" s="5" t="str">
        <f t="shared" si="0"/>
        <v>More than 90 days</v>
      </c>
      <c r="M23" s="6">
        <v>20</v>
      </c>
    </row>
    <row r="24" spans="1:13" x14ac:dyDescent="0.25">
      <c r="A24" s="7"/>
      <c r="B24" s="2" t="s">
        <v>0</v>
      </c>
      <c r="C24" s="2" t="s">
        <v>116</v>
      </c>
      <c r="D24" s="3">
        <v>45799</v>
      </c>
      <c r="E24" s="2" t="s">
        <v>16</v>
      </c>
      <c r="F24" s="2" t="s">
        <v>17</v>
      </c>
      <c r="G24" s="2"/>
      <c r="H24" s="3"/>
      <c r="I24" s="2"/>
      <c r="J24" s="3">
        <v>45814</v>
      </c>
      <c r="K24" s="8">
        <v>199</v>
      </c>
      <c r="L24" s="5" t="str">
        <f t="shared" si="0"/>
        <v>More than 90 days</v>
      </c>
      <c r="M24" s="6">
        <v>20</v>
      </c>
    </row>
    <row r="25" spans="1:13" x14ac:dyDescent="0.25">
      <c r="A25" s="7"/>
      <c r="B25" s="2" t="s">
        <v>0</v>
      </c>
      <c r="C25" s="2" t="s">
        <v>116</v>
      </c>
      <c r="D25" s="3">
        <v>45799</v>
      </c>
      <c r="E25" s="2" t="s">
        <v>1</v>
      </c>
      <c r="F25" s="2" t="s">
        <v>17</v>
      </c>
      <c r="G25" s="2"/>
      <c r="H25" s="3"/>
      <c r="I25" s="2"/>
      <c r="J25" s="3">
        <v>45814</v>
      </c>
      <c r="K25" s="8">
        <v>199</v>
      </c>
      <c r="L25" s="5" t="str">
        <f t="shared" si="0"/>
        <v>More than 90 days</v>
      </c>
      <c r="M25" s="6">
        <v>10</v>
      </c>
    </row>
    <row r="26" spans="1:13" x14ac:dyDescent="0.25">
      <c r="A26" s="7"/>
      <c r="B26" s="2" t="s">
        <v>0</v>
      </c>
      <c r="C26" s="2" t="s">
        <v>116</v>
      </c>
      <c r="D26" s="3">
        <v>45826</v>
      </c>
      <c r="E26" s="2" t="s">
        <v>1</v>
      </c>
      <c r="F26" s="2" t="s">
        <v>18</v>
      </c>
      <c r="G26" s="2"/>
      <c r="H26" s="3"/>
      <c r="I26" s="2"/>
      <c r="J26" s="3">
        <v>45841</v>
      </c>
      <c r="K26" s="8">
        <v>172</v>
      </c>
      <c r="L26" s="5" t="str">
        <f t="shared" si="0"/>
        <v>More than 90 days</v>
      </c>
      <c r="M26" s="6">
        <v>10</v>
      </c>
    </row>
    <row r="27" spans="1:13" x14ac:dyDescent="0.25">
      <c r="A27" s="7"/>
      <c r="B27" s="2" t="s">
        <v>0</v>
      </c>
      <c r="C27" s="2" t="s">
        <v>116</v>
      </c>
      <c r="D27" s="3">
        <v>45826</v>
      </c>
      <c r="E27" s="2" t="s">
        <v>119</v>
      </c>
      <c r="F27" s="2" t="s">
        <v>18</v>
      </c>
      <c r="G27" s="2"/>
      <c r="H27" s="3"/>
      <c r="I27" s="2"/>
      <c r="J27" s="3">
        <v>45841</v>
      </c>
      <c r="K27" s="8">
        <v>172</v>
      </c>
      <c r="L27" s="5" t="str">
        <f t="shared" si="0"/>
        <v>More than 90 days</v>
      </c>
      <c r="M27" s="6">
        <f>50*3</f>
        <v>150</v>
      </c>
    </row>
    <row r="28" spans="1:13" x14ac:dyDescent="0.25">
      <c r="A28" s="7"/>
      <c r="B28" s="2" t="s">
        <v>0</v>
      </c>
      <c r="C28" s="2" t="s">
        <v>116</v>
      </c>
      <c r="D28" s="3">
        <v>45828</v>
      </c>
      <c r="E28" s="2" t="s">
        <v>1</v>
      </c>
      <c r="F28" s="2" t="s">
        <v>19</v>
      </c>
      <c r="G28" s="2"/>
      <c r="H28" s="3"/>
      <c r="I28" s="2"/>
      <c r="J28" s="3">
        <v>45843</v>
      </c>
      <c r="K28" s="8">
        <v>170</v>
      </c>
      <c r="L28" s="5" t="str">
        <f t="shared" si="0"/>
        <v>More than 90 days</v>
      </c>
      <c r="M28" s="6">
        <v>10</v>
      </c>
    </row>
    <row r="29" spans="1:13" x14ac:dyDescent="0.25">
      <c r="A29" s="7"/>
      <c r="B29" s="2" t="s">
        <v>0</v>
      </c>
      <c r="C29" s="2" t="s">
        <v>116</v>
      </c>
      <c r="D29" s="3">
        <v>45828</v>
      </c>
      <c r="E29" s="2" t="s">
        <v>20</v>
      </c>
      <c r="F29" s="2" t="s">
        <v>19</v>
      </c>
      <c r="G29" s="2"/>
      <c r="H29" s="3"/>
      <c r="I29" s="2"/>
      <c r="J29" s="3">
        <v>45843</v>
      </c>
      <c r="K29" s="8">
        <v>170</v>
      </c>
      <c r="L29" s="5" t="str">
        <f t="shared" si="0"/>
        <v>More than 90 days</v>
      </c>
      <c r="M29" s="6">
        <v>20</v>
      </c>
    </row>
    <row r="30" spans="1:13" x14ac:dyDescent="0.25">
      <c r="A30" s="7"/>
      <c r="B30" s="2" t="s">
        <v>0</v>
      </c>
      <c r="C30" s="2" t="s">
        <v>116</v>
      </c>
      <c r="D30" s="3">
        <v>45831</v>
      </c>
      <c r="E30" s="2" t="s">
        <v>1</v>
      </c>
      <c r="F30" s="2" t="s">
        <v>21</v>
      </c>
      <c r="G30" s="2"/>
      <c r="H30" s="3"/>
      <c r="I30" s="2"/>
      <c r="J30" s="3">
        <v>45846</v>
      </c>
      <c r="K30" s="8">
        <v>167</v>
      </c>
      <c r="L30" s="5" t="str">
        <f t="shared" si="0"/>
        <v>More than 90 days</v>
      </c>
      <c r="M30" s="6">
        <v>10</v>
      </c>
    </row>
    <row r="31" spans="1:13" x14ac:dyDescent="0.25">
      <c r="A31" s="7"/>
      <c r="B31" s="2" t="s">
        <v>0</v>
      </c>
      <c r="C31" s="2" t="s">
        <v>116</v>
      </c>
      <c r="D31" s="3">
        <v>45831</v>
      </c>
      <c r="E31" s="2" t="s">
        <v>120</v>
      </c>
      <c r="F31" s="2" t="s">
        <v>21</v>
      </c>
      <c r="G31" s="2"/>
      <c r="H31" s="3"/>
      <c r="I31" s="2"/>
      <c r="J31" s="3">
        <v>45846</v>
      </c>
      <c r="K31" s="8">
        <v>167</v>
      </c>
      <c r="L31" s="5" t="str">
        <f t="shared" si="0"/>
        <v>More than 90 days</v>
      </c>
      <c r="M31" s="6">
        <f>50*3</f>
        <v>150</v>
      </c>
    </row>
    <row r="32" spans="1:13" x14ac:dyDescent="0.25">
      <c r="A32" s="7"/>
      <c r="B32" s="2" t="s">
        <v>0</v>
      </c>
      <c r="C32" s="2" t="s">
        <v>116</v>
      </c>
      <c r="D32" s="3">
        <v>45934</v>
      </c>
      <c r="E32" s="2" t="s">
        <v>1</v>
      </c>
      <c r="F32" s="2" t="s">
        <v>22</v>
      </c>
      <c r="G32" s="2" t="s">
        <v>23</v>
      </c>
      <c r="H32" s="3">
        <v>45689</v>
      </c>
      <c r="I32" s="2"/>
      <c r="J32" s="3">
        <v>45949</v>
      </c>
      <c r="K32" s="8">
        <v>64</v>
      </c>
      <c r="L32" s="5" t="str">
        <f t="shared" si="0"/>
        <v>60 days</v>
      </c>
      <c r="M32" s="6">
        <v>10</v>
      </c>
    </row>
    <row r="33" spans="1:13" x14ac:dyDescent="0.25">
      <c r="A33" s="7"/>
      <c r="B33" s="2" t="s">
        <v>0</v>
      </c>
      <c r="C33" s="2" t="s">
        <v>116</v>
      </c>
      <c r="D33" s="3">
        <v>45934</v>
      </c>
      <c r="E33" s="2" t="s">
        <v>24</v>
      </c>
      <c r="F33" s="2" t="s">
        <v>22</v>
      </c>
      <c r="G33" s="2" t="s">
        <v>23</v>
      </c>
      <c r="H33" s="3">
        <v>45689</v>
      </c>
      <c r="I33" s="2"/>
      <c r="J33" s="3">
        <v>45949</v>
      </c>
      <c r="K33" s="8">
        <v>64</v>
      </c>
      <c r="L33" s="5" t="str">
        <f t="shared" si="0"/>
        <v>60 days</v>
      </c>
      <c r="M33" s="6">
        <v>20</v>
      </c>
    </row>
    <row r="34" spans="1:13" x14ac:dyDescent="0.25">
      <c r="A34" s="7"/>
      <c r="B34" s="2" t="s">
        <v>0</v>
      </c>
      <c r="C34" s="2" t="s">
        <v>116</v>
      </c>
      <c r="D34" s="3">
        <v>46003</v>
      </c>
      <c r="E34" s="2" t="s">
        <v>1</v>
      </c>
      <c r="F34" s="2" t="s">
        <v>25</v>
      </c>
      <c r="G34" s="2" t="s">
        <v>26</v>
      </c>
      <c r="H34" s="3">
        <v>45717</v>
      </c>
      <c r="I34" s="2"/>
      <c r="J34" s="3">
        <v>46018</v>
      </c>
      <c r="K34" s="8">
        <v>-5</v>
      </c>
      <c r="L34" s="5" t="str">
        <f t="shared" si="0"/>
        <v>Current</v>
      </c>
      <c r="M34" s="6">
        <v>10</v>
      </c>
    </row>
    <row r="35" spans="1:13" x14ac:dyDescent="0.25">
      <c r="A35" s="7"/>
      <c r="B35" s="2" t="s">
        <v>0</v>
      </c>
      <c r="C35" s="2" t="s">
        <v>116</v>
      </c>
      <c r="D35" s="3">
        <v>46003</v>
      </c>
      <c r="E35" s="2" t="s">
        <v>27</v>
      </c>
      <c r="F35" s="2" t="s">
        <v>25</v>
      </c>
      <c r="G35" s="2" t="s">
        <v>26</v>
      </c>
      <c r="H35" s="3">
        <v>45717</v>
      </c>
      <c r="I35" s="2"/>
      <c r="J35" s="3">
        <v>46018</v>
      </c>
      <c r="K35" s="8">
        <v>-5</v>
      </c>
      <c r="L35" s="5" t="str">
        <f t="shared" si="0"/>
        <v>Current</v>
      </c>
      <c r="M35" s="6">
        <v>25</v>
      </c>
    </row>
    <row r="36" spans="1:13" x14ac:dyDescent="0.25">
      <c r="A36" s="7"/>
      <c r="B36" s="2" t="s">
        <v>0</v>
      </c>
      <c r="C36" s="2" t="s">
        <v>116</v>
      </c>
      <c r="D36" s="3">
        <v>46006</v>
      </c>
      <c r="E36" s="2" t="s">
        <v>8</v>
      </c>
      <c r="F36" s="2" t="s">
        <v>28</v>
      </c>
      <c r="G36" s="2" t="s">
        <v>23</v>
      </c>
      <c r="H36" s="3">
        <v>45689</v>
      </c>
      <c r="I36" s="2"/>
      <c r="J36" s="3">
        <v>46021</v>
      </c>
      <c r="K36" s="8">
        <v>-8</v>
      </c>
      <c r="L36" s="5" t="str">
        <f t="shared" si="0"/>
        <v>Current</v>
      </c>
      <c r="M36" s="6">
        <v>80</v>
      </c>
    </row>
    <row r="37" spans="1:13" x14ac:dyDescent="0.25">
      <c r="A37" s="7"/>
      <c r="B37" s="2" t="s">
        <v>0</v>
      </c>
      <c r="C37" s="2" t="s">
        <v>116</v>
      </c>
      <c r="D37" s="3">
        <v>46006</v>
      </c>
      <c r="E37" s="2" t="s">
        <v>7</v>
      </c>
      <c r="F37" s="2" t="s">
        <v>28</v>
      </c>
      <c r="G37" s="2" t="s">
        <v>23</v>
      </c>
      <c r="H37" s="3">
        <v>45689</v>
      </c>
      <c r="I37" s="2"/>
      <c r="J37" s="3">
        <v>46021</v>
      </c>
      <c r="K37" s="8">
        <v>-8</v>
      </c>
      <c r="L37" s="5" t="str">
        <f t="shared" si="0"/>
        <v>Current</v>
      </c>
      <c r="M37" s="6">
        <v>1500</v>
      </c>
    </row>
    <row r="38" spans="1:13" x14ac:dyDescent="0.25">
      <c r="A38" s="7"/>
      <c r="B38" s="2" t="s">
        <v>0</v>
      </c>
      <c r="C38" s="2" t="s">
        <v>116</v>
      </c>
      <c r="D38" s="3">
        <v>46006</v>
      </c>
      <c r="E38" s="2" t="s">
        <v>1</v>
      </c>
      <c r="F38" s="2" t="s">
        <v>28</v>
      </c>
      <c r="G38" s="2" t="s">
        <v>23</v>
      </c>
      <c r="H38" s="3">
        <v>45689</v>
      </c>
      <c r="I38" s="2"/>
      <c r="J38" s="3">
        <v>46021</v>
      </c>
      <c r="K38" s="8">
        <v>-8</v>
      </c>
      <c r="L38" s="5" t="str">
        <f t="shared" si="0"/>
        <v>Current</v>
      </c>
      <c r="M38" s="6">
        <v>10</v>
      </c>
    </row>
    <row r="39" spans="1:13" x14ac:dyDescent="0.25">
      <c r="A39" s="7"/>
      <c r="B39" s="2" t="s">
        <v>0</v>
      </c>
      <c r="C39" s="2" t="s">
        <v>116</v>
      </c>
      <c r="D39" s="3">
        <v>46006</v>
      </c>
      <c r="E39" s="2" t="s">
        <v>9</v>
      </c>
      <c r="F39" s="2" t="s">
        <v>28</v>
      </c>
      <c r="G39" s="2" t="s">
        <v>23</v>
      </c>
      <c r="H39" s="3">
        <v>45689</v>
      </c>
      <c r="I39" s="2"/>
      <c r="J39" s="3">
        <v>46021</v>
      </c>
      <c r="K39" s="8">
        <v>-8</v>
      </c>
      <c r="L39" s="5" t="str">
        <f t="shared" si="0"/>
        <v>Current</v>
      </c>
      <c r="M39" s="6">
        <v>88</v>
      </c>
    </row>
    <row r="40" spans="1:13" x14ac:dyDescent="0.25">
      <c r="A40" s="7"/>
      <c r="B40" s="2" t="s">
        <v>0</v>
      </c>
      <c r="C40" s="2" t="s">
        <v>116</v>
      </c>
      <c r="D40" s="3">
        <v>46006</v>
      </c>
      <c r="E40" s="2" t="s">
        <v>6</v>
      </c>
      <c r="F40" s="2" t="s">
        <v>28</v>
      </c>
      <c r="G40" s="2" t="s">
        <v>23</v>
      </c>
      <c r="H40" s="3">
        <v>45689</v>
      </c>
      <c r="I40" s="2"/>
      <c r="J40" s="3">
        <v>46021</v>
      </c>
      <c r="K40" s="8">
        <v>-8</v>
      </c>
      <c r="L40" s="5" t="str">
        <f t="shared" si="0"/>
        <v>Current</v>
      </c>
      <c r="M40" s="6">
        <v>68</v>
      </c>
    </row>
    <row r="41" spans="1:13" x14ac:dyDescent="0.25">
      <c r="A41" s="7"/>
      <c r="B41" s="2" t="s">
        <v>0</v>
      </c>
      <c r="C41" s="2" t="s">
        <v>116</v>
      </c>
      <c r="D41" s="3">
        <v>46006</v>
      </c>
      <c r="E41" s="2" t="s">
        <v>3</v>
      </c>
      <c r="F41" s="2" t="s">
        <v>28</v>
      </c>
      <c r="G41" s="2" t="s">
        <v>23</v>
      </c>
      <c r="H41" s="3">
        <v>45689</v>
      </c>
      <c r="I41" s="2"/>
      <c r="J41" s="3">
        <v>46021</v>
      </c>
      <c r="K41" s="8">
        <v>-8</v>
      </c>
      <c r="L41" s="5" t="str">
        <f t="shared" si="0"/>
        <v>Current</v>
      </c>
      <c r="M41" s="6">
        <v>56</v>
      </c>
    </row>
    <row r="42" spans="1:13" x14ac:dyDescent="0.25">
      <c r="A42" s="7"/>
      <c r="B42" s="2" t="s">
        <v>0</v>
      </c>
      <c r="C42" s="2" t="s">
        <v>116</v>
      </c>
      <c r="D42" s="3">
        <v>46006</v>
      </c>
      <c r="E42" s="2" t="s">
        <v>9</v>
      </c>
      <c r="F42" s="2" t="s">
        <v>29</v>
      </c>
      <c r="G42" s="2" t="s">
        <v>30</v>
      </c>
      <c r="H42" s="3">
        <v>45689</v>
      </c>
      <c r="I42" s="2"/>
      <c r="J42" s="3">
        <v>46021</v>
      </c>
      <c r="K42" s="8">
        <v>-8</v>
      </c>
      <c r="L42" s="5" t="str">
        <f t="shared" si="0"/>
        <v>Current</v>
      </c>
      <c r="M42" s="6">
        <v>88</v>
      </c>
    </row>
    <row r="43" spans="1:13" x14ac:dyDescent="0.25">
      <c r="A43" s="7"/>
      <c r="B43" s="2" t="s">
        <v>0</v>
      </c>
      <c r="C43" s="2" t="s">
        <v>116</v>
      </c>
      <c r="D43" s="3">
        <v>46006</v>
      </c>
      <c r="E43" s="2" t="s">
        <v>8</v>
      </c>
      <c r="F43" s="2" t="s">
        <v>29</v>
      </c>
      <c r="G43" s="2" t="s">
        <v>30</v>
      </c>
      <c r="H43" s="3">
        <v>45689</v>
      </c>
      <c r="I43" s="2"/>
      <c r="J43" s="3">
        <v>46021</v>
      </c>
      <c r="K43" s="8">
        <v>-8</v>
      </c>
      <c r="L43" s="5" t="str">
        <f t="shared" si="0"/>
        <v>Current</v>
      </c>
      <c r="M43" s="6">
        <v>80</v>
      </c>
    </row>
    <row r="44" spans="1:13" x14ac:dyDescent="0.25">
      <c r="A44" s="7"/>
      <c r="B44" s="2" t="s">
        <v>0</v>
      </c>
      <c r="C44" s="2" t="s">
        <v>116</v>
      </c>
      <c r="D44" s="3">
        <v>46006</v>
      </c>
      <c r="E44" s="2" t="s">
        <v>3</v>
      </c>
      <c r="F44" s="2" t="s">
        <v>29</v>
      </c>
      <c r="G44" s="2" t="s">
        <v>30</v>
      </c>
      <c r="H44" s="3">
        <v>45689</v>
      </c>
      <c r="I44" s="2"/>
      <c r="J44" s="3">
        <v>46021</v>
      </c>
      <c r="K44" s="8">
        <v>-8</v>
      </c>
      <c r="L44" s="5" t="str">
        <f t="shared" si="0"/>
        <v>Current</v>
      </c>
      <c r="M44" s="6">
        <v>56</v>
      </c>
    </row>
    <row r="45" spans="1:13" x14ac:dyDescent="0.25">
      <c r="A45" s="7"/>
      <c r="B45" s="2" t="s">
        <v>0</v>
      </c>
      <c r="C45" s="2" t="s">
        <v>116</v>
      </c>
      <c r="D45" s="3">
        <v>46006</v>
      </c>
      <c r="E45" s="2" t="s">
        <v>6</v>
      </c>
      <c r="F45" s="2" t="s">
        <v>29</v>
      </c>
      <c r="G45" s="2" t="s">
        <v>30</v>
      </c>
      <c r="H45" s="3">
        <v>45689</v>
      </c>
      <c r="I45" s="2"/>
      <c r="J45" s="3">
        <v>46021</v>
      </c>
      <c r="K45" s="8">
        <v>-8</v>
      </c>
      <c r="L45" s="5" t="str">
        <f t="shared" si="0"/>
        <v>Current</v>
      </c>
      <c r="M45" s="6">
        <v>68</v>
      </c>
    </row>
    <row r="46" spans="1:13" x14ac:dyDescent="0.25">
      <c r="A46" s="7"/>
      <c r="B46" s="2" t="s">
        <v>0</v>
      </c>
      <c r="C46" s="2" t="s">
        <v>116</v>
      </c>
      <c r="D46" s="3">
        <v>46006</v>
      </c>
      <c r="E46" s="2" t="s">
        <v>7</v>
      </c>
      <c r="F46" s="2" t="s">
        <v>29</v>
      </c>
      <c r="G46" s="2" t="s">
        <v>30</v>
      </c>
      <c r="H46" s="3">
        <v>45689</v>
      </c>
      <c r="I46" s="2"/>
      <c r="J46" s="3">
        <v>46021</v>
      </c>
      <c r="K46" s="8">
        <v>-8</v>
      </c>
      <c r="L46" s="5" t="str">
        <f t="shared" si="0"/>
        <v>Current</v>
      </c>
      <c r="M46" s="6">
        <v>1500</v>
      </c>
    </row>
    <row r="47" spans="1:13" x14ac:dyDescent="0.25">
      <c r="A47" s="7"/>
      <c r="B47" s="2" t="s">
        <v>0</v>
      </c>
      <c r="C47" s="2" t="s">
        <v>116</v>
      </c>
      <c r="D47" s="3">
        <v>46006</v>
      </c>
      <c r="E47" s="2" t="s">
        <v>1</v>
      </c>
      <c r="F47" s="2" t="s">
        <v>29</v>
      </c>
      <c r="G47" s="2" t="s">
        <v>30</v>
      </c>
      <c r="H47" s="3">
        <v>45689</v>
      </c>
      <c r="I47" s="2"/>
      <c r="J47" s="3">
        <v>46021</v>
      </c>
      <c r="K47" s="8">
        <v>-8</v>
      </c>
      <c r="L47" s="5" t="str">
        <f t="shared" si="0"/>
        <v>Current</v>
      </c>
      <c r="M47" s="6">
        <v>10</v>
      </c>
    </row>
    <row r="48" spans="1:13" x14ac:dyDescent="0.25">
      <c r="A48" s="7"/>
      <c r="B48" s="2" t="s">
        <v>0</v>
      </c>
      <c r="C48" s="2" t="s">
        <v>116</v>
      </c>
      <c r="D48" s="3">
        <v>46006</v>
      </c>
      <c r="E48" s="2" t="s">
        <v>3</v>
      </c>
      <c r="F48" s="2" t="s">
        <v>31</v>
      </c>
      <c r="G48" s="2" t="s">
        <v>26</v>
      </c>
      <c r="H48" s="3">
        <v>45717</v>
      </c>
      <c r="I48" s="2"/>
      <c r="J48" s="3">
        <v>46021</v>
      </c>
      <c r="K48" s="8">
        <v>-8</v>
      </c>
      <c r="L48" s="5" t="str">
        <f t="shared" si="0"/>
        <v>Current</v>
      </c>
      <c r="M48" s="6">
        <v>56</v>
      </c>
    </row>
    <row r="49" spans="1:13" x14ac:dyDescent="0.25">
      <c r="A49" s="7"/>
      <c r="B49" s="2" t="s">
        <v>0</v>
      </c>
      <c r="C49" s="2" t="s">
        <v>116</v>
      </c>
      <c r="D49" s="3">
        <v>46006</v>
      </c>
      <c r="E49" s="2" t="s">
        <v>1</v>
      </c>
      <c r="F49" s="2" t="s">
        <v>31</v>
      </c>
      <c r="G49" s="2" t="s">
        <v>26</v>
      </c>
      <c r="H49" s="3">
        <v>45717</v>
      </c>
      <c r="I49" s="2"/>
      <c r="J49" s="3">
        <v>46021</v>
      </c>
      <c r="K49" s="8">
        <v>-8</v>
      </c>
      <c r="L49" s="5" t="str">
        <f t="shared" si="0"/>
        <v>Current</v>
      </c>
      <c r="M49" s="6">
        <v>10</v>
      </c>
    </row>
    <row r="50" spans="1:13" x14ac:dyDescent="0.25">
      <c r="A50" s="7"/>
      <c r="B50" s="2" t="s">
        <v>0</v>
      </c>
      <c r="C50" s="2" t="s">
        <v>116</v>
      </c>
      <c r="D50" s="3">
        <v>46006</v>
      </c>
      <c r="E50" s="2" t="s">
        <v>7</v>
      </c>
      <c r="F50" s="2" t="s">
        <v>31</v>
      </c>
      <c r="G50" s="2" t="s">
        <v>26</v>
      </c>
      <c r="H50" s="3">
        <v>45717</v>
      </c>
      <c r="I50" s="2"/>
      <c r="J50" s="3">
        <v>46021</v>
      </c>
      <c r="K50" s="8">
        <v>-8</v>
      </c>
      <c r="L50" s="5" t="str">
        <f t="shared" si="0"/>
        <v>Current</v>
      </c>
      <c r="M50" s="6">
        <v>1500</v>
      </c>
    </row>
    <row r="51" spans="1:13" x14ac:dyDescent="0.25">
      <c r="A51" s="7"/>
      <c r="B51" s="2" t="s">
        <v>0</v>
      </c>
      <c r="C51" s="2" t="s">
        <v>116</v>
      </c>
      <c r="D51" s="3">
        <v>46006</v>
      </c>
      <c r="E51" s="2" t="s">
        <v>8</v>
      </c>
      <c r="F51" s="2" t="s">
        <v>31</v>
      </c>
      <c r="G51" s="2" t="s">
        <v>26</v>
      </c>
      <c r="H51" s="3">
        <v>45717</v>
      </c>
      <c r="I51" s="2"/>
      <c r="J51" s="3">
        <v>46021</v>
      </c>
      <c r="K51" s="8">
        <v>-8</v>
      </c>
      <c r="L51" s="5" t="str">
        <f t="shared" si="0"/>
        <v>Current</v>
      </c>
      <c r="M51" s="6">
        <v>80</v>
      </c>
    </row>
    <row r="52" spans="1:13" x14ac:dyDescent="0.25">
      <c r="A52" s="7"/>
      <c r="B52" s="2" t="s">
        <v>0</v>
      </c>
      <c r="C52" s="2" t="s">
        <v>116</v>
      </c>
      <c r="D52" s="3">
        <v>46006</v>
      </c>
      <c r="E52" s="2" t="s">
        <v>9</v>
      </c>
      <c r="F52" s="2" t="s">
        <v>31</v>
      </c>
      <c r="G52" s="2" t="s">
        <v>26</v>
      </c>
      <c r="H52" s="3">
        <v>45717</v>
      </c>
      <c r="I52" s="2"/>
      <c r="J52" s="3">
        <v>46021</v>
      </c>
      <c r="K52" s="8">
        <v>-8</v>
      </c>
      <c r="L52" s="5" t="str">
        <f t="shared" si="0"/>
        <v>Current</v>
      </c>
      <c r="M52" s="6">
        <v>88</v>
      </c>
    </row>
    <row r="53" spans="1:13" x14ac:dyDescent="0.25">
      <c r="A53" s="7"/>
      <c r="B53" s="2" t="s">
        <v>0</v>
      </c>
      <c r="C53" s="2" t="s">
        <v>116</v>
      </c>
      <c r="D53" s="3">
        <v>46006</v>
      </c>
      <c r="E53" s="2" t="s">
        <v>6</v>
      </c>
      <c r="F53" s="2" t="s">
        <v>31</v>
      </c>
      <c r="G53" s="2" t="s">
        <v>26</v>
      </c>
      <c r="H53" s="3">
        <v>45717</v>
      </c>
      <c r="I53" s="2"/>
      <c r="J53" s="3">
        <v>46021</v>
      </c>
      <c r="K53" s="8">
        <v>-8</v>
      </c>
      <c r="L53" s="5" t="str">
        <f t="shared" si="0"/>
        <v>Current</v>
      </c>
      <c r="M53" s="6">
        <v>68</v>
      </c>
    </row>
    <row r="54" spans="1:13" x14ac:dyDescent="0.25">
      <c r="A54" s="9" t="s">
        <v>117</v>
      </c>
      <c r="B54" s="9"/>
      <c r="C54" s="9"/>
      <c r="D54" s="10"/>
      <c r="E54" s="9"/>
      <c r="F54" s="9"/>
      <c r="G54" s="9"/>
      <c r="H54" s="10"/>
      <c r="I54" s="9"/>
      <c r="J54" s="10"/>
      <c r="K54" s="11"/>
      <c r="L54" s="5" t="str">
        <f t="shared" si="0"/>
        <v>Current</v>
      </c>
      <c r="M54" s="12">
        <f>SUM(M20:M53)</f>
        <v>5911</v>
      </c>
    </row>
    <row r="55" spans="1:13" x14ac:dyDescent="0.25">
      <c r="A55" s="1" t="s">
        <v>121</v>
      </c>
      <c r="B55" s="2"/>
      <c r="C55" s="2"/>
      <c r="D55" s="3"/>
      <c r="E55" s="2"/>
      <c r="F55" s="2"/>
      <c r="G55" s="2"/>
      <c r="H55" s="3"/>
      <c r="I55" s="2"/>
      <c r="J55" s="3"/>
      <c r="K55" s="4"/>
      <c r="L55" s="5" t="str">
        <f t="shared" si="0"/>
        <v>Current</v>
      </c>
      <c r="M55" s="6"/>
    </row>
    <row r="56" spans="1:13" x14ac:dyDescent="0.25">
      <c r="A56" s="7"/>
      <c r="B56" s="2" t="s">
        <v>32</v>
      </c>
      <c r="C56" s="2" t="s">
        <v>126</v>
      </c>
      <c r="D56" s="3">
        <v>45414</v>
      </c>
      <c r="E56" s="2" t="s">
        <v>33</v>
      </c>
      <c r="F56" s="2" t="s">
        <v>34</v>
      </c>
      <c r="G56" s="2"/>
      <c r="H56" s="3"/>
      <c r="I56" s="2"/>
      <c r="J56" s="3">
        <v>45414</v>
      </c>
      <c r="K56" s="8">
        <v>599</v>
      </c>
      <c r="L56" s="5" t="str">
        <f t="shared" si="0"/>
        <v>More than 90 days</v>
      </c>
      <c r="M56" s="6">
        <v>-166.65</v>
      </c>
    </row>
    <row r="57" spans="1:13" x14ac:dyDescent="0.25">
      <c r="A57" s="7"/>
      <c r="B57" s="2" t="s">
        <v>0</v>
      </c>
      <c r="C57" s="2" t="s">
        <v>126</v>
      </c>
      <c r="D57" s="3">
        <v>45454</v>
      </c>
      <c r="E57" s="2" t="s">
        <v>35</v>
      </c>
      <c r="F57" s="2" t="s">
        <v>36</v>
      </c>
      <c r="G57" s="2" t="s">
        <v>37</v>
      </c>
      <c r="H57" s="3">
        <v>44805</v>
      </c>
      <c r="I57" s="2"/>
      <c r="J57" s="3">
        <v>45469</v>
      </c>
      <c r="K57" s="8">
        <v>544</v>
      </c>
      <c r="L57" s="5" t="str">
        <f t="shared" si="0"/>
        <v>More than 90 days</v>
      </c>
      <c r="M57" s="6">
        <v>25</v>
      </c>
    </row>
    <row r="58" spans="1:13" x14ac:dyDescent="0.25">
      <c r="A58" s="7"/>
      <c r="B58" s="2" t="s">
        <v>0</v>
      </c>
      <c r="C58" s="2" t="s">
        <v>126</v>
      </c>
      <c r="D58" s="3">
        <v>45454</v>
      </c>
      <c r="E58" s="2" t="s">
        <v>1</v>
      </c>
      <c r="F58" s="2" t="s">
        <v>36</v>
      </c>
      <c r="G58" s="2" t="s">
        <v>37</v>
      </c>
      <c r="H58" s="3">
        <v>44805</v>
      </c>
      <c r="I58" s="2"/>
      <c r="J58" s="3">
        <v>45469</v>
      </c>
      <c r="K58" s="8">
        <v>544</v>
      </c>
      <c r="L58" s="5" t="str">
        <f t="shared" si="0"/>
        <v>More than 90 days</v>
      </c>
      <c r="M58" s="6">
        <v>10</v>
      </c>
    </row>
    <row r="59" spans="1:13" x14ac:dyDescent="0.25">
      <c r="A59" s="7"/>
      <c r="B59" s="2" t="s">
        <v>0</v>
      </c>
      <c r="C59" s="2" t="s">
        <v>126</v>
      </c>
      <c r="D59" s="3">
        <v>45474</v>
      </c>
      <c r="E59" s="2" t="s">
        <v>1</v>
      </c>
      <c r="F59" s="2" t="s">
        <v>38</v>
      </c>
      <c r="G59" s="2" t="s">
        <v>39</v>
      </c>
      <c r="H59" s="3">
        <v>44835</v>
      </c>
      <c r="I59" s="2"/>
      <c r="J59" s="3">
        <v>45489</v>
      </c>
      <c r="K59" s="8">
        <v>524</v>
      </c>
      <c r="L59" s="5" t="str">
        <f t="shared" si="0"/>
        <v>More than 90 days</v>
      </c>
      <c r="M59" s="6">
        <v>10</v>
      </c>
    </row>
    <row r="60" spans="1:13" x14ac:dyDescent="0.25">
      <c r="A60" s="7"/>
      <c r="B60" s="2" t="s">
        <v>0</v>
      </c>
      <c r="C60" s="2" t="s">
        <v>126</v>
      </c>
      <c r="D60" s="3">
        <v>45474</v>
      </c>
      <c r="E60" s="2" t="s">
        <v>40</v>
      </c>
      <c r="F60" s="2" t="s">
        <v>38</v>
      </c>
      <c r="G60" s="2" t="s">
        <v>39</v>
      </c>
      <c r="H60" s="3">
        <v>44835</v>
      </c>
      <c r="I60" s="2"/>
      <c r="J60" s="3">
        <v>45489</v>
      </c>
      <c r="K60" s="8">
        <v>524</v>
      </c>
      <c r="L60" s="5" t="str">
        <f t="shared" si="0"/>
        <v>More than 90 days</v>
      </c>
      <c r="M60" s="6">
        <v>9.1743119266055051E-2</v>
      </c>
    </row>
    <row r="61" spans="1:13" x14ac:dyDescent="0.25">
      <c r="A61" s="7"/>
      <c r="B61" s="2" t="s">
        <v>0</v>
      </c>
      <c r="C61" s="2" t="s">
        <v>126</v>
      </c>
      <c r="D61" s="3">
        <v>45551</v>
      </c>
      <c r="E61" s="2" t="s">
        <v>41</v>
      </c>
      <c r="F61" s="2" t="s">
        <v>42</v>
      </c>
      <c r="G61" s="2" t="s">
        <v>43</v>
      </c>
      <c r="H61" s="3">
        <v>44835</v>
      </c>
      <c r="I61" s="2"/>
      <c r="J61" s="3">
        <v>45566</v>
      </c>
      <c r="K61" s="8">
        <v>447</v>
      </c>
      <c r="L61" s="5" t="str">
        <f t="shared" si="0"/>
        <v>More than 90 days</v>
      </c>
      <c r="M61" s="6">
        <v>40</v>
      </c>
    </row>
    <row r="62" spans="1:13" x14ac:dyDescent="0.25">
      <c r="A62" s="7"/>
      <c r="B62" s="2" t="s">
        <v>0</v>
      </c>
      <c r="C62" s="2" t="s">
        <v>126</v>
      </c>
      <c r="D62" s="3">
        <v>45551</v>
      </c>
      <c r="E62" s="2" t="s">
        <v>1</v>
      </c>
      <c r="F62" s="2" t="s">
        <v>42</v>
      </c>
      <c r="G62" s="2" t="s">
        <v>43</v>
      </c>
      <c r="H62" s="3">
        <v>44835</v>
      </c>
      <c r="I62" s="2"/>
      <c r="J62" s="3">
        <v>45566</v>
      </c>
      <c r="K62" s="8">
        <v>447</v>
      </c>
      <c r="L62" s="5" t="str">
        <f t="shared" si="0"/>
        <v>More than 90 days</v>
      </c>
      <c r="M62" s="6">
        <v>10</v>
      </c>
    </row>
    <row r="63" spans="1:13" x14ac:dyDescent="0.25">
      <c r="A63" s="7"/>
      <c r="B63" s="2" t="s">
        <v>0</v>
      </c>
      <c r="C63" s="2" t="s">
        <v>126</v>
      </c>
      <c r="D63" s="3">
        <v>45551</v>
      </c>
      <c r="E63" s="2" t="s">
        <v>44</v>
      </c>
      <c r="F63" s="2" t="s">
        <v>45</v>
      </c>
      <c r="G63" s="2" t="s">
        <v>46</v>
      </c>
      <c r="H63" s="3">
        <v>45413</v>
      </c>
      <c r="I63" s="2"/>
      <c r="J63" s="3">
        <v>45566</v>
      </c>
      <c r="K63" s="8">
        <v>447</v>
      </c>
      <c r="L63" s="5" t="str">
        <f t="shared" si="0"/>
        <v>More than 90 days</v>
      </c>
      <c r="M63" s="6">
        <v>70</v>
      </c>
    </row>
    <row r="64" spans="1:13" x14ac:dyDescent="0.25">
      <c r="A64" s="7"/>
      <c r="B64" s="2" t="s">
        <v>0</v>
      </c>
      <c r="C64" s="2" t="s">
        <v>126</v>
      </c>
      <c r="D64" s="3">
        <v>45551</v>
      </c>
      <c r="E64" s="2" t="s">
        <v>1</v>
      </c>
      <c r="F64" s="2" t="s">
        <v>45</v>
      </c>
      <c r="G64" s="2" t="s">
        <v>46</v>
      </c>
      <c r="H64" s="3">
        <v>45413</v>
      </c>
      <c r="I64" s="2"/>
      <c r="J64" s="3">
        <v>45566</v>
      </c>
      <c r="K64" s="8">
        <v>447</v>
      </c>
      <c r="L64" s="5" t="str">
        <f t="shared" si="0"/>
        <v>More than 90 days</v>
      </c>
      <c r="M64" s="6">
        <v>10</v>
      </c>
    </row>
    <row r="65" spans="1:13" x14ac:dyDescent="0.25">
      <c r="A65" s="7"/>
      <c r="B65" s="2" t="s">
        <v>0</v>
      </c>
      <c r="C65" s="2" t="s">
        <v>126</v>
      </c>
      <c r="D65" s="3">
        <v>45551</v>
      </c>
      <c r="E65" s="2" t="s">
        <v>47</v>
      </c>
      <c r="F65" s="2" t="s">
        <v>48</v>
      </c>
      <c r="G65" s="2" t="s">
        <v>49</v>
      </c>
      <c r="H65" s="3">
        <v>44835</v>
      </c>
      <c r="I65" s="2"/>
      <c r="J65" s="3">
        <v>45566</v>
      </c>
      <c r="K65" s="8">
        <v>447</v>
      </c>
      <c r="L65" s="5" t="str">
        <f t="shared" si="0"/>
        <v>More than 90 days</v>
      </c>
      <c r="M65" s="6">
        <v>50</v>
      </c>
    </row>
    <row r="66" spans="1:13" x14ac:dyDescent="0.25">
      <c r="A66" s="7"/>
      <c r="B66" s="2" t="s">
        <v>0</v>
      </c>
      <c r="C66" s="2" t="s">
        <v>126</v>
      </c>
      <c r="D66" s="3">
        <v>45551</v>
      </c>
      <c r="E66" s="2" t="s">
        <v>1</v>
      </c>
      <c r="F66" s="2" t="s">
        <v>48</v>
      </c>
      <c r="G66" s="2" t="s">
        <v>49</v>
      </c>
      <c r="H66" s="3">
        <v>44835</v>
      </c>
      <c r="I66" s="2"/>
      <c r="J66" s="3">
        <v>45566</v>
      </c>
      <c r="K66" s="8">
        <v>447</v>
      </c>
      <c r="L66" s="5" t="str">
        <f t="shared" si="0"/>
        <v>More than 90 days</v>
      </c>
      <c r="M66" s="6">
        <v>10</v>
      </c>
    </row>
    <row r="67" spans="1:13" x14ac:dyDescent="0.25">
      <c r="A67" s="7"/>
      <c r="B67" s="2" t="s">
        <v>0</v>
      </c>
      <c r="C67" s="2" t="s">
        <v>126</v>
      </c>
      <c r="D67" s="3">
        <v>45551</v>
      </c>
      <c r="E67" s="2" t="s">
        <v>1</v>
      </c>
      <c r="F67" s="2" t="s">
        <v>50</v>
      </c>
      <c r="G67" s="2" t="s">
        <v>49</v>
      </c>
      <c r="H67" s="3">
        <v>44835</v>
      </c>
      <c r="I67" s="2"/>
      <c r="J67" s="3">
        <v>45566</v>
      </c>
      <c r="K67" s="8">
        <v>447</v>
      </c>
      <c r="L67" s="5" t="str">
        <f t="shared" si="0"/>
        <v>More than 90 days</v>
      </c>
      <c r="M67" s="6">
        <v>10</v>
      </c>
    </row>
    <row r="68" spans="1:13" x14ac:dyDescent="0.25">
      <c r="A68" s="7"/>
      <c r="B68" s="2" t="s">
        <v>0</v>
      </c>
      <c r="C68" s="2" t="s">
        <v>126</v>
      </c>
      <c r="D68" s="3">
        <v>45551</v>
      </c>
      <c r="E68" s="2" t="s">
        <v>51</v>
      </c>
      <c r="F68" s="2" t="s">
        <v>50</v>
      </c>
      <c r="G68" s="2" t="s">
        <v>49</v>
      </c>
      <c r="H68" s="3">
        <v>44835</v>
      </c>
      <c r="I68" s="2"/>
      <c r="J68" s="3">
        <v>45566</v>
      </c>
      <c r="K68" s="8">
        <v>447</v>
      </c>
      <c r="L68" s="5" t="str">
        <f t="shared" si="0"/>
        <v>More than 90 days</v>
      </c>
      <c r="M68" s="6">
        <v>25</v>
      </c>
    </row>
    <row r="69" spans="1:13" x14ac:dyDescent="0.25">
      <c r="A69" s="7"/>
      <c r="B69" s="2" t="s">
        <v>0</v>
      </c>
      <c r="C69" s="2" t="s">
        <v>126</v>
      </c>
      <c r="D69" s="3">
        <v>45583</v>
      </c>
      <c r="E69" s="2" t="s">
        <v>1</v>
      </c>
      <c r="F69" s="2" t="s">
        <v>52</v>
      </c>
      <c r="G69" s="2" t="s">
        <v>53</v>
      </c>
      <c r="H69" s="3">
        <v>45017</v>
      </c>
      <c r="I69" s="2"/>
      <c r="J69" s="3">
        <v>45598</v>
      </c>
      <c r="K69" s="8">
        <v>415</v>
      </c>
      <c r="L69" s="5" t="str">
        <f t="shared" si="0"/>
        <v>More than 90 days</v>
      </c>
      <c r="M69" s="6">
        <v>10</v>
      </c>
    </row>
    <row r="70" spans="1:13" x14ac:dyDescent="0.25">
      <c r="A70" s="7"/>
      <c r="B70" s="2" t="s">
        <v>0</v>
      </c>
      <c r="C70" s="2" t="s">
        <v>126</v>
      </c>
      <c r="D70" s="3">
        <v>45583</v>
      </c>
      <c r="E70" s="2" t="s">
        <v>54</v>
      </c>
      <c r="F70" s="2" t="s">
        <v>52</v>
      </c>
      <c r="G70" s="2" t="s">
        <v>53</v>
      </c>
      <c r="H70" s="3">
        <v>45017</v>
      </c>
      <c r="I70" s="2"/>
      <c r="J70" s="3">
        <v>45598</v>
      </c>
      <c r="K70" s="8">
        <v>415</v>
      </c>
      <c r="L70" s="5" t="str">
        <f t="shared" si="0"/>
        <v>More than 90 days</v>
      </c>
      <c r="M70" s="6">
        <v>5</v>
      </c>
    </row>
    <row r="71" spans="1:13" x14ac:dyDescent="0.25">
      <c r="A71" s="7"/>
      <c r="B71" s="2" t="s">
        <v>0</v>
      </c>
      <c r="C71" s="2" t="s">
        <v>126</v>
      </c>
      <c r="D71" s="3">
        <v>46001</v>
      </c>
      <c r="E71" s="2" t="s">
        <v>1</v>
      </c>
      <c r="F71" s="2" t="s">
        <v>55</v>
      </c>
      <c r="G71" s="2" t="s">
        <v>56</v>
      </c>
      <c r="H71" s="3">
        <v>45748</v>
      </c>
      <c r="I71" s="2"/>
      <c r="J71" s="3">
        <v>46016</v>
      </c>
      <c r="K71" s="8">
        <v>-3</v>
      </c>
      <c r="L71" s="5" t="str">
        <f t="shared" ref="L71:L134" si="1">IF(K71&lt;=15,"Current",IF(AND(K71&gt;15,K71&lt;=45),"30 days",IF(AND(K71&gt;45,K71&lt;=75),"60 days",IF(AND(K71&gt;75,K71&lt;=105),"90 days","More than 90 days"))))</f>
        <v>Current</v>
      </c>
      <c r="M71" s="6">
        <v>10</v>
      </c>
    </row>
    <row r="72" spans="1:13" x14ac:dyDescent="0.25">
      <c r="A72" s="7"/>
      <c r="B72" s="2" t="s">
        <v>0</v>
      </c>
      <c r="C72" s="2" t="s">
        <v>126</v>
      </c>
      <c r="D72" s="3">
        <v>46001</v>
      </c>
      <c r="E72" s="2" t="s">
        <v>57</v>
      </c>
      <c r="F72" s="2" t="s">
        <v>55</v>
      </c>
      <c r="G72" s="2" t="s">
        <v>56</v>
      </c>
      <c r="H72" s="3">
        <v>45748</v>
      </c>
      <c r="I72" s="2"/>
      <c r="J72" s="3">
        <v>46016</v>
      </c>
      <c r="K72" s="8">
        <v>-3</v>
      </c>
      <c r="L72" s="5" t="str">
        <f t="shared" si="1"/>
        <v>Current</v>
      </c>
      <c r="M72" s="6">
        <v>20</v>
      </c>
    </row>
    <row r="73" spans="1:13" x14ac:dyDescent="0.25">
      <c r="A73" s="7"/>
      <c r="B73" s="2" t="s">
        <v>0</v>
      </c>
      <c r="C73" s="2" t="s">
        <v>126</v>
      </c>
      <c r="D73" s="3">
        <v>46006</v>
      </c>
      <c r="E73" s="2" t="s">
        <v>7</v>
      </c>
      <c r="F73" s="2" t="s">
        <v>58</v>
      </c>
      <c r="G73" s="2" t="s">
        <v>59</v>
      </c>
      <c r="H73" s="3">
        <v>45748</v>
      </c>
      <c r="I73" s="2"/>
      <c r="J73" s="3">
        <v>46021</v>
      </c>
      <c r="K73" s="8">
        <v>-8</v>
      </c>
      <c r="L73" s="5" t="str">
        <f t="shared" si="1"/>
        <v>Current</v>
      </c>
      <c r="M73" s="6">
        <v>1500</v>
      </c>
    </row>
    <row r="74" spans="1:13" x14ac:dyDescent="0.25">
      <c r="A74" s="7"/>
      <c r="B74" s="2" t="s">
        <v>0</v>
      </c>
      <c r="C74" s="2" t="s">
        <v>126</v>
      </c>
      <c r="D74" s="3">
        <v>46006</v>
      </c>
      <c r="E74" s="2" t="s">
        <v>3</v>
      </c>
      <c r="F74" s="2" t="s">
        <v>58</v>
      </c>
      <c r="G74" s="2" t="s">
        <v>59</v>
      </c>
      <c r="H74" s="3">
        <v>45748</v>
      </c>
      <c r="I74" s="2"/>
      <c r="J74" s="3">
        <v>46021</v>
      </c>
      <c r="K74" s="8">
        <v>-8</v>
      </c>
      <c r="L74" s="5" t="str">
        <f t="shared" si="1"/>
        <v>Current</v>
      </c>
      <c r="M74" s="6">
        <v>56</v>
      </c>
    </row>
    <row r="75" spans="1:13" x14ac:dyDescent="0.25">
      <c r="A75" s="7"/>
      <c r="B75" s="2" t="s">
        <v>0</v>
      </c>
      <c r="C75" s="2" t="s">
        <v>126</v>
      </c>
      <c r="D75" s="3">
        <v>46006</v>
      </c>
      <c r="E75" s="2" t="s">
        <v>9</v>
      </c>
      <c r="F75" s="2" t="s">
        <v>58</v>
      </c>
      <c r="G75" s="2" t="s">
        <v>59</v>
      </c>
      <c r="H75" s="3">
        <v>45748</v>
      </c>
      <c r="I75" s="2"/>
      <c r="J75" s="3">
        <v>46021</v>
      </c>
      <c r="K75" s="8">
        <v>-8</v>
      </c>
      <c r="L75" s="5" t="str">
        <f t="shared" si="1"/>
        <v>Current</v>
      </c>
      <c r="M75" s="6">
        <v>88</v>
      </c>
    </row>
    <row r="76" spans="1:13" x14ac:dyDescent="0.25">
      <c r="A76" s="7"/>
      <c r="B76" s="2" t="s">
        <v>0</v>
      </c>
      <c r="C76" s="2" t="s">
        <v>126</v>
      </c>
      <c r="D76" s="3">
        <v>46006</v>
      </c>
      <c r="E76" s="2" t="s">
        <v>8</v>
      </c>
      <c r="F76" s="2" t="s">
        <v>58</v>
      </c>
      <c r="G76" s="2" t="s">
        <v>59</v>
      </c>
      <c r="H76" s="3">
        <v>45748</v>
      </c>
      <c r="I76" s="2"/>
      <c r="J76" s="3">
        <v>46021</v>
      </c>
      <c r="K76" s="8">
        <v>-8</v>
      </c>
      <c r="L76" s="5" t="str">
        <f t="shared" si="1"/>
        <v>Current</v>
      </c>
      <c r="M76" s="6">
        <v>80</v>
      </c>
    </row>
    <row r="77" spans="1:13" x14ac:dyDescent="0.25">
      <c r="A77" s="7"/>
      <c r="B77" s="2" t="s">
        <v>0</v>
      </c>
      <c r="C77" s="2" t="s">
        <v>126</v>
      </c>
      <c r="D77" s="3">
        <v>46006</v>
      </c>
      <c r="E77" s="2" t="s">
        <v>1</v>
      </c>
      <c r="F77" s="2" t="s">
        <v>58</v>
      </c>
      <c r="G77" s="2" t="s">
        <v>59</v>
      </c>
      <c r="H77" s="3">
        <v>45748</v>
      </c>
      <c r="I77" s="2"/>
      <c r="J77" s="3">
        <v>46021</v>
      </c>
      <c r="K77" s="8">
        <v>-8</v>
      </c>
      <c r="L77" s="5" t="str">
        <f t="shared" si="1"/>
        <v>Current</v>
      </c>
      <c r="M77" s="6">
        <v>10</v>
      </c>
    </row>
    <row r="78" spans="1:13" x14ac:dyDescent="0.25">
      <c r="A78" s="7"/>
      <c r="B78" s="2" t="s">
        <v>0</v>
      </c>
      <c r="C78" s="2" t="s">
        <v>126</v>
      </c>
      <c r="D78" s="3">
        <v>46006</v>
      </c>
      <c r="E78" s="2" t="s">
        <v>6</v>
      </c>
      <c r="F78" s="2" t="s">
        <v>58</v>
      </c>
      <c r="G78" s="2" t="s">
        <v>59</v>
      </c>
      <c r="H78" s="3">
        <v>45748</v>
      </c>
      <c r="I78" s="2"/>
      <c r="J78" s="3">
        <v>46021</v>
      </c>
      <c r="K78" s="8">
        <v>-8</v>
      </c>
      <c r="L78" s="5" t="str">
        <f t="shared" si="1"/>
        <v>Current</v>
      </c>
      <c r="M78" s="6">
        <v>68</v>
      </c>
    </row>
    <row r="79" spans="1:13" x14ac:dyDescent="0.25">
      <c r="A79" s="7"/>
      <c r="B79" s="2" t="s">
        <v>0</v>
      </c>
      <c r="C79" s="2" t="s">
        <v>126</v>
      </c>
      <c r="D79" s="3">
        <v>46006</v>
      </c>
      <c r="E79" s="2" t="s">
        <v>6</v>
      </c>
      <c r="F79" s="2" t="s">
        <v>60</v>
      </c>
      <c r="G79" s="2" t="s">
        <v>56</v>
      </c>
      <c r="H79" s="3">
        <v>45748</v>
      </c>
      <c r="I79" s="2"/>
      <c r="J79" s="3">
        <v>46021</v>
      </c>
      <c r="K79" s="8">
        <v>-8</v>
      </c>
      <c r="L79" s="5" t="str">
        <f t="shared" si="1"/>
        <v>Current</v>
      </c>
      <c r="M79" s="6">
        <v>68</v>
      </c>
    </row>
    <row r="80" spans="1:13" x14ac:dyDescent="0.25">
      <c r="A80" s="7"/>
      <c r="B80" s="2" t="s">
        <v>0</v>
      </c>
      <c r="C80" s="2" t="s">
        <v>126</v>
      </c>
      <c r="D80" s="3">
        <v>46006</v>
      </c>
      <c r="E80" s="2" t="s">
        <v>1</v>
      </c>
      <c r="F80" s="2" t="s">
        <v>60</v>
      </c>
      <c r="G80" s="2" t="s">
        <v>56</v>
      </c>
      <c r="H80" s="3">
        <v>45748</v>
      </c>
      <c r="I80" s="2"/>
      <c r="J80" s="3">
        <v>46021</v>
      </c>
      <c r="K80" s="8">
        <v>-8</v>
      </c>
      <c r="L80" s="5" t="str">
        <f t="shared" si="1"/>
        <v>Current</v>
      </c>
      <c r="M80" s="6">
        <v>10</v>
      </c>
    </row>
    <row r="81" spans="1:13" x14ac:dyDescent="0.25">
      <c r="A81" s="7"/>
      <c r="B81" s="2" t="s">
        <v>0</v>
      </c>
      <c r="C81" s="2" t="s">
        <v>126</v>
      </c>
      <c r="D81" s="3">
        <v>46006</v>
      </c>
      <c r="E81" s="2" t="s">
        <v>3</v>
      </c>
      <c r="F81" s="2" t="s">
        <v>60</v>
      </c>
      <c r="G81" s="2" t="s">
        <v>56</v>
      </c>
      <c r="H81" s="3">
        <v>45748</v>
      </c>
      <c r="I81" s="2"/>
      <c r="J81" s="3">
        <v>46021</v>
      </c>
      <c r="K81" s="8">
        <v>-8</v>
      </c>
      <c r="L81" s="5" t="str">
        <f t="shared" si="1"/>
        <v>Current</v>
      </c>
      <c r="M81" s="6">
        <v>56</v>
      </c>
    </row>
    <row r="82" spans="1:13" x14ac:dyDescent="0.25">
      <c r="A82" s="7"/>
      <c r="B82" s="2" t="s">
        <v>0</v>
      </c>
      <c r="C82" s="2" t="s">
        <v>126</v>
      </c>
      <c r="D82" s="3">
        <v>46006</v>
      </c>
      <c r="E82" s="2" t="s">
        <v>7</v>
      </c>
      <c r="F82" s="2" t="s">
        <v>60</v>
      </c>
      <c r="G82" s="2" t="s">
        <v>56</v>
      </c>
      <c r="H82" s="3">
        <v>45748</v>
      </c>
      <c r="I82" s="2"/>
      <c r="J82" s="3">
        <v>46021</v>
      </c>
      <c r="K82" s="8">
        <v>-8</v>
      </c>
      <c r="L82" s="5" t="str">
        <f t="shared" si="1"/>
        <v>Current</v>
      </c>
      <c r="M82" s="6">
        <v>1500</v>
      </c>
    </row>
    <row r="83" spans="1:13" x14ac:dyDescent="0.25">
      <c r="A83" s="7"/>
      <c r="B83" s="2" t="s">
        <v>0</v>
      </c>
      <c r="C83" s="2" t="s">
        <v>126</v>
      </c>
      <c r="D83" s="3">
        <v>46006</v>
      </c>
      <c r="E83" s="2" t="s">
        <v>9</v>
      </c>
      <c r="F83" s="2" t="s">
        <v>60</v>
      </c>
      <c r="G83" s="2" t="s">
        <v>56</v>
      </c>
      <c r="H83" s="3">
        <v>45748</v>
      </c>
      <c r="I83" s="2"/>
      <c r="J83" s="3">
        <v>46021</v>
      </c>
      <c r="K83" s="8">
        <v>-8</v>
      </c>
      <c r="L83" s="5" t="str">
        <f t="shared" si="1"/>
        <v>Current</v>
      </c>
      <c r="M83" s="6">
        <v>88</v>
      </c>
    </row>
    <row r="84" spans="1:13" x14ac:dyDescent="0.25">
      <c r="A84" s="7"/>
      <c r="B84" s="2" t="s">
        <v>0</v>
      </c>
      <c r="C84" s="2" t="s">
        <v>126</v>
      </c>
      <c r="D84" s="3">
        <v>46006</v>
      </c>
      <c r="E84" s="2" t="s">
        <v>8</v>
      </c>
      <c r="F84" s="2" t="s">
        <v>60</v>
      </c>
      <c r="G84" s="2" t="s">
        <v>56</v>
      </c>
      <c r="H84" s="3">
        <v>45748</v>
      </c>
      <c r="I84" s="2"/>
      <c r="J84" s="3">
        <v>46021</v>
      </c>
      <c r="K84" s="8">
        <v>-8</v>
      </c>
      <c r="L84" s="5" t="str">
        <f t="shared" si="1"/>
        <v>Current</v>
      </c>
      <c r="M84" s="6">
        <v>80</v>
      </c>
    </row>
    <row r="85" spans="1:13" x14ac:dyDescent="0.25">
      <c r="A85" s="7"/>
      <c r="B85" s="2" t="s">
        <v>0</v>
      </c>
      <c r="C85" s="2" t="s">
        <v>126</v>
      </c>
      <c r="D85" s="3">
        <v>46006</v>
      </c>
      <c r="E85" s="2" t="s">
        <v>8</v>
      </c>
      <c r="F85" s="2" t="s">
        <v>61</v>
      </c>
      <c r="G85" s="2" t="s">
        <v>46</v>
      </c>
      <c r="H85" s="3">
        <v>45413</v>
      </c>
      <c r="I85" s="2"/>
      <c r="J85" s="3">
        <v>46021</v>
      </c>
      <c r="K85" s="8">
        <v>-8</v>
      </c>
      <c r="L85" s="5" t="str">
        <f t="shared" si="1"/>
        <v>Current</v>
      </c>
      <c r="M85" s="6">
        <v>80</v>
      </c>
    </row>
    <row r="86" spans="1:13" x14ac:dyDescent="0.25">
      <c r="A86" s="7"/>
      <c r="B86" s="2" t="s">
        <v>0</v>
      </c>
      <c r="C86" s="2" t="s">
        <v>126</v>
      </c>
      <c r="D86" s="3">
        <v>46006</v>
      </c>
      <c r="E86" s="2" t="s">
        <v>3</v>
      </c>
      <c r="F86" s="2" t="s">
        <v>61</v>
      </c>
      <c r="G86" s="2" t="s">
        <v>46</v>
      </c>
      <c r="H86" s="3">
        <v>45413</v>
      </c>
      <c r="I86" s="2"/>
      <c r="J86" s="3">
        <v>46021</v>
      </c>
      <c r="K86" s="8">
        <v>-8</v>
      </c>
      <c r="L86" s="5" t="str">
        <f t="shared" si="1"/>
        <v>Current</v>
      </c>
      <c r="M86" s="6">
        <v>56</v>
      </c>
    </row>
    <row r="87" spans="1:13" x14ac:dyDescent="0.25">
      <c r="A87" s="7"/>
      <c r="B87" s="2" t="s">
        <v>0</v>
      </c>
      <c r="C87" s="2" t="s">
        <v>126</v>
      </c>
      <c r="D87" s="3">
        <v>46006</v>
      </c>
      <c r="E87" s="2" t="s">
        <v>1</v>
      </c>
      <c r="F87" s="2" t="s">
        <v>61</v>
      </c>
      <c r="G87" s="2" t="s">
        <v>46</v>
      </c>
      <c r="H87" s="3">
        <v>45413</v>
      </c>
      <c r="I87" s="2"/>
      <c r="J87" s="3">
        <v>46021</v>
      </c>
      <c r="K87" s="8">
        <v>-8</v>
      </c>
      <c r="L87" s="5" t="str">
        <f t="shared" si="1"/>
        <v>Current</v>
      </c>
      <c r="M87" s="6">
        <v>10</v>
      </c>
    </row>
    <row r="88" spans="1:13" x14ac:dyDescent="0.25">
      <c r="A88" s="7"/>
      <c r="B88" s="2" t="s">
        <v>0</v>
      </c>
      <c r="C88" s="2" t="s">
        <v>126</v>
      </c>
      <c r="D88" s="3">
        <v>46006</v>
      </c>
      <c r="E88" s="2" t="s">
        <v>6</v>
      </c>
      <c r="F88" s="2" t="s">
        <v>61</v>
      </c>
      <c r="G88" s="2" t="s">
        <v>46</v>
      </c>
      <c r="H88" s="3">
        <v>45413</v>
      </c>
      <c r="I88" s="2"/>
      <c r="J88" s="3">
        <v>46021</v>
      </c>
      <c r="K88" s="8">
        <v>-8</v>
      </c>
      <c r="L88" s="5" t="str">
        <f t="shared" si="1"/>
        <v>Current</v>
      </c>
      <c r="M88" s="6">
        <v>68</v>
      </c>
    </row>
    <row r="89" spans="1:13" x14ac:dyDescent="0.25">
      <c r="A89" s="7"/>
      <c r="B89" s="2" t="s">
        <v>0</v>
      </c>
      <c r="C89" s="2" t="s">
        <v>126</v>
      </c>
      <c r="D89" s="3">
        <v>46006</v>
      </c>
      <c r="E89" s="2" t="s">
        <v>9</v>
      </c>
      <c r="F89" s="2" t="s">
        <v>61</v>
      </c>
      <c r="G89" s="2" t="s">
        <v>46</v>
      </c>
      <c r="H89" s="3">
        <v>45413</v>
      </c>
      <c r="I89" s="2"/>
      <c r="J89" s="3">
        <v>46021</v>
      </c>
      <c r="K89" s="8">
        <v>-8</v>
      </c>
      <c r="L89" s="5" t="str">
        <f t="shared" si="1"/>
        <v>Current</v>
      </c>
      <c r="M89" s="6">
        <v>88</v>
      </c>
    </row>
    <row r="90" spans="1:13" x14ac:dyDescent="0.25">
      <c r="A90" s="7"/>
      <c r="B90" s="2" t="s">
        <v>0</v>
      </c>
      <c r="C90" s="2" t="s">
        <v>126</v>
      </c>
      <c r="D90" s="3">
        <v>46006</v>
      </c>
      <c r="E90" s="2" t="s">
        <v>7</v>
      </c>
      <c r="F90" s="2" t="s">
        <v>61</v>
      </c>
      <c r="G90" s="2" t="s">
        <v>46</v>
      </c>
      <c r="H90" s="3">
        <v>45413</v>
      </c>
      <c r="I90" s="2"/>
      <c r="J90" s="3">
        <v>46021</v>
      </c>
      <c r="K90" s="8">
        <v>-8</v>
      </c>
      <c r="L90" s="5" t="str">
        <f t="shared" si="1"/>
        <v>Current</v>
      </c>
      <c r="M90" s="6">
        <v>1500</v>
      </c>
    </row>
    <row r="91" spans="1:13" x14ac:dyDescent="0.25">
      <c r="A91" s="7"/>
      <c r="B91" s="2" t="s">
        <v>0</v>
      </c>
      <c r="C91" s="2" t="s">
        <v>126</v>
      </c>
      <c r="D91" s="3">
        <v>46006</v>
      </c>
      <c r="E91" s="2" t="s">
        <v>8</v>
      </c>
      <c r="F91" s="2" t="s">
        <v>62</v>
      </c>
      <c r="G91" s="2" t="s">
        <v>63</v>
      </c>
      <c r="H91" s="3">
        <v>45536</v>
      </c>
      <c r="I91" s="2"/>
      <c r="J91" s="3">
        <v>46021</v>
      </c>
      <c r="K91" s="8">
        <v>-8</v>
      </c>
      <c r="L91" s="5" t="str">
        <f t="shared" si="1"/>
        <v>Current</v>
      </c>
      <c r="M91" s="6">
        <v>80</v>
      </c>
    </row>
    <row r="92" spans="1:13" x14ac:dyDescent="0.25">
      <c r="A92" s="7"/>
      <c r="B92" s="2" t="s">
        <v>0</v>
      </c>
      <c r="C92" s="2" t="s">
        <v>126</v>
      </c>
      <c r="D92" s="3">
        <v>46006</v>
      </c>
      <c r="E92" s="2" t="s">
        <v>9</v>
      </c>
      <c r="F92" s="2" t="s">
        <v>62</v>
      </c>
      <c r="G92" s="2" t="s">
        <v>63</v>
      </c>
      <c r="H92" s="3">
        <v>45536</v>
      </c>
      <c r="I92" s="2"/>
      <c r="J92" s="3">
        <v>46021</v>
      </c>
      <c r="K92" s="8">
        <v>-8</v>
      </c>
      <c r="L92" s="5" t="str">
        <f t="shared" si="1"/>
        <v>Current</v>
      </c>
      <c r="M92" s="6">
        <v>88</v>
      </c>
    </row>
    <row r="93" spans="1:13" x14ac:dyDescent="0.25">
      <c r="A93" s="7"/>
      <c r="B93" s="2" t="s">
        <v>0</v>
      </c>
      <c r="C93" s="2" t="s">
        <v>126</v>
      </c>
      <c r="D93" s="3">
        <v>46006</v>
      </c>
      <c r="E93" s="2" t="s">
        <v>1</v>
      </c>
      <c r="F93" s="2" t="s">
        <v>62</v>
      </c>
      <c r="G93" s="2" t="s">
        <v>63</v>
      </c>
      <c r="H93" s="3">
        <v>45536</v>
      </c>
      <c r="I93" s="2"/>
      <c r="J93" s="3">
        <v>46021</v>
      </c>
      <c r="K93" s="8">
        <v>-8</v>
      </c>
      <c r="L93" s="5" t="str">
        <f t="shared" si="1"/>
        <v>Current</v>
      </c>
      <c r="M93" s="6">
        <v>10</v>
      </c>
    </row>
    <row r="94" spans="1:13" x14ac:dyDescent="0.25">
      <c r="A94" s="7"/>
      <c r="B94" s="2" t="s">
        <v>0</v>
      </c>
      <c r="C94" s="2" t="s">
        <v>126</v>
      </c>
      <c r="D94" s="3">
        <v>46006</v>
      </c>
      <c r="E94" s="2" t="s">
        <v>7</v>
      </c>
      <c r="F94" s="2" t="s">
        <v>62</v>
      </c>
      <c r="G94" s="2" t="s">
        <v>63</v>
      </c>
      <c r="H94" s="3">
        <v>45536</v>
      </c>
      <c r="I94" s="2"/>
      <c r="J94" s="3">
        <v>46021</v>
      </c>
      <c r="K94" s="8">
        <v>-8</v>
      </c>
      <c r="L94" s="5" t="str">
        <f t="shared" si="1"/>
        <v>Current</v>
      </c>
      <c r="M94" s="6">
        <v>1500</v>
      </c>
    </row>
    <row r="95" spans="1:13" x14ac:dyDescent="0.25">
      <c r="A95" s="7"/>
      <c r="B95" s="2" t="s">
        <v>0</v>
      </c>
      <c r="C95" s="2" t="s">
        <v>126</v>
      </c>
      <c r="D95" s="3">
        <v>46006</v>
      </c>
      <c r="E95" s="2" t="s">
        <v>3</v>
      </c>
      <c r="F95" s="2" t="s">
        <v>62</v>
      </c>
      <c r="G95" s="2" t="s">
        <v>63</v>
      </c>
      <c r="H95" s="3">
        <v>45536</v>
      </c>
      <c r="I95" s="2"/>
      <c r="J95" s="3">
        <v>46021</v>
      </c>
      <c r="K95" s="8">
        <v>-8</v>
      </c>
      <c r="L95" s="5" t="str">
        <f t="shared" si="1"/>
        <v>Current</v>
      </c>
      <c r="M95" s="6">
        <v>56</v>
      </c>
    </row>
    <row r="96" spans="1:13" x14ac:dyDescent="0.25">
      <c r="A96" s="7"/>
      <c r="B96" s="2" t="s">
        <v>0</v>
      </c>
      <c r="C96" s="2" t="s">
        <v>126</v>
      </c>
      <c r="D96" s="3">
        <v>46006</v>
      </c>
      <c r="E96" s="2" t="s">
        <v>6</v>
      </c>
      <c r="F96" s="2" t="s">
        <v>62</v>
      </c>
      <c r="G96" s="2" t="s">
        <v>63</v>
      </c>
      <c r="H96" s="3">
        <v>45536</v>
      </c>
      <c r="I96" s="2"/>
      <c r="J96" s="3">
        <v>46021</v>
      </c>
      <c r="K96" s="8">
        <v>-8</v>
      </c>
      <c r="L96" s="5" t="str">
        <f t="shared" si="1"/>
        <v>Current</v>
      </c>
      <c r="M96" s="6">
        <v>68</v>
      </c>
    </row>
    <row r="97" spans="1:13" x14ac:dyDescent="0.25">
      <c r="A97" s="7"/>
      <c r="B97" s="2" t="s">
        <v>0</v>
      </c>
      <c r="C97" s="2" t="s">
        <v>126</v>
      </c>
      <c r="D97" s="3">
        <v>46006</v>
      </c>
      <c r="E97" s="2" t="s">
        <v>7</v>
      </c>
      <c r="F97" s="2" t="s">
        <v>64</v>
      </c>
      <c r="G97" s="2" t="s">
        <v>65</v>
      </c>
      <c r="H97" s="3">
        <v>45566</v>
      </c>
      <c r="I97" s="2"/>
      <c r="J97" s="3">
        <v>46021</v>
      </c>
      <c r="K97" s="8">
        <v>-8</v>
      </c>
      <c r="L97" s="5" t="str">
        <f t="shared" si="1"/>
        <v>Current</v>
      </c>
      <c r="M97" s="6">
        <v>1500</v>
      </c>
    </row>
    <row r="98" spans="1:13" x14ac:dyDescent="0.25">
      <c r="A98" s="7"/>
      <c r="B98" s="2" t="s">
        <v>0</v>
      </c>
      <c r="C98" s="2" t="s">
        <v>126</v>
      </c>
      <c r="D98" s="3">
        <v>46006</v>
      </c>
      <c r="E98" s="2" t="s">
        <v>3</v>
      </c>
      <c r="F98" s="2" t="s">
        <v>64</v>
      </c>
      <c r="G98" s="2" t="s">
        <v>65</v>
      </c>
      <c r="H98" s="3">
        <v>45566</v>
      </c>
      <c r="I98" s="2"/>
      <c r="J98" s="3">
        <v>46021</v>
      </c>
      <c r="K98" s="8">
        <v>-8</v>
      </c>
      <c r="L98" s="5" t="str">
        <f t="shared" si="1"/>
        <v>Current</v>
      </c>
      <c r="M98" s="6">
        <v>56</v>
      </c>
    </row>
    <row r="99" spans="1:13" x14ac:dyDescent="0.25">
      <c r="A99" s="7"/>
      <c r="B99" s="2" t="s">
        <v>0</v>
      </c>
      <c r="C99" s="2" t="s">
        <v>126</v>
      </c>
      <c r="D99" s="3">
        <v>46006</v>
      </c>
      <c r="E99" s="2" t="s">
        <v>6</v>
      </c>
      <c r="F99" s="2" t="s">
        <v>64</v>
      </c>
      <c r="G99" s="2" t="s">
        <v>65</v>
      </c>
      <c r="H99" s="3">
        <v>45566</v>
      </c>
      <c r="I99" s="2"/>
      <c r="J99" s="3">
        <v>46021</v>
      </c>
      <c r="K99" s="8">
        <v>-8</v>
      </c>
      <c r="L99" s="5" t="str">
        <f t="shared" si="1"/>
        <v>Current</v>
      </c>
      <c r="M99" s="6">
        <v>68</v>
      </c>
    </row>
    <row r="100" spans="1:13" x14ac:dyDescent="0.25">
      <c r="A100" s="7"/>
      <c r="B100" s="2" t="s">
        <v>0</v>
      </c>
      <c r="C100" s="2" t="s">
        <v>126</v>
      </c>
      <c r="D100" s="3">
        <v>46006</v>
      </c>
      <c r="E100" s="2" t="s">
        <v>9</v>
      </c>
      <c r="F100" s="2" t="s">
        <v>64</v>
      </c>
      <c r="G100" s="2" t="s">
        <v>65</v>
      </c>
      <c r="H100" s="3">
        <v>45566</v>
      </c>
      <c r="I100" s="2"/>
      <c r="J100" s="3">
        <v>46021</v>
      </c>
      <c r="K100" s="8">
        <v>-8</v>
      </c>
      <c r="L100" s="5" t="str">
        <f t="shared" si="1"/>
        <v>Current</v>
      </c>
      <c r="M100" s="6">
        <v>88</v>
      </c>
    </row>
    <row r="101" spans="1:13" x14ac:dyDescent="0.25">
      <c r="A101" s="7"/>
      <c r="B101" s="2" t="s">
        <v>0</v>
      </c>
      <c r="C101" s="2" t="s">
        <v>126</v>
      </c>
      <c r="D101" s="3">
        <v>46006</v>
      </c>
      <c r="E101" s="2" t="s">
        <v>8</v>
      </c>
      <c r="F101" s="2" t="s">
        <v>64</v>
      </c>
      <c r="G101" s="2" t="s">
        <v>65</v>
      </c>
      <c r="H101" s="3">
        <v>45566</v>
      </c>
      <c r="I101" s="2"/>
      <c r="J101" s="3">
        <v>46021</v>
      </c>
      <c r="K101" s="8">
        <v>-8</v>
      </c>
      <c r="L101" s="5" t="str">
        <f t="shared" si="1"/>
        <v>Current</v>
      </c>
      <c r="M101" s="6">
        <v>80</v>
      </c>
    </row>
    <row r="102" spans="1:13" x14ac:dyDescent="0.25">
      <c r="A102" s="7"/>
      <c r="B102" s="2" t="s">
        <v>0</v>
      </c>
      <c r="C102" s="2" t="s">
        <v>126</v>
      </c>
      <c r="D102" s="3">
        <v>46006</v>
      </c>
      <c r="E102" s="2" t="s">
        <v>1</v>
      </c>
      <c r="F102" s="2" t="s">
        <v>64</v>
      </c>
      <c r="G102" s="2" t="s">
        <v>65</v>
      </c>
      <c r="H102" s="3">
        <v>45566</v>
      </c>
      <c r="I102" s="2"/>
      <c r="J102" s="3">
        <v>46021</v>
      </c>
      <c r="K102" s="8">
        <v>-8</v>
      </c>
      <c r="L102" s="5" t="str">
        <f t="shared" si="1"/>
        <v>Current</v>
      </c>
      <c r="M102" s="6">
        <v>10</v>
      </c>
    </row>
    <row r="103" spans="1:13" x14ac:dyDescent="0.25">
      <c r="A103" s="7"/>
      <c r="B103" s="2" t="s">
        <v>0</v>
      </c>
      <c r="C103" s="2" t="s">
        <v>126</v>
      </c>
      <c r="D103" s="3">
        <v>46006</v>
      </c>
      <c r="E103" s="2" t="s">
        <v>6</v>
      </c>
      <c r="F103" s="2" t="s">
        <v>66</v>
      </c>
      <c r="G103" s="2" t="s">
        <v>67</v>
      </c>
      <c r="H103" s="3">
        <v>45566</v>
      </c>
      <c r="I103" s="2"/>
      <c r="J103" s="3">
        <v>46021</v>
      </c>
      <c r="K103" s="8">
        <v>-8</v>
      </c>
      <c r="L103" s="5" t="str">
        <f t="shared" si="1"/>
        <v>Current</v>
      </c>
      <c r="M103" s="6">
        <v>68</v>
      </c>
    </row>
    <row r="104" spans="1:13" x14ac:dyDescent="0.25">
      <c r="A104" s="7"/>
      <c r="B104" s="2" t="s">
        <v>0</v>
      </c>
      <c r="C104" s="2" t="s">
        <v>126</v>
      </c>
      <c r="D104" s="3">
        <v>46006</v>
      </c>
      <c r="E104" s="2" t="s">
        <v>7</v>
      </c>
      <c r="F104" s="2" t="s">
        <v>66</v>
      </c>
      <c r="G104" s="2" t="s">
        <v>67</v>
      </c>
      <c r="H104" s="3">
        <v>45566</v>
      </c>
      <c r="I104" s="2"/>
      <c r="J104" s="3">
        <v>46021</v>
      </c>
      <c r="K104" s="8">
        <v>-8</v>
      </c>
      <c r="L104" s="5" t="str">
        <f t="shared" si="1"/>
        <v>Current</v>
      </c>
      <c r="M104" s="6">
        <v>1500</v>
      </c>
    </row>
    <row r="105" spans="1:13" x14ac:dyDescent="0.25">
      <c r="A105" s="7"/>
      <c r="B105" s="2" t="s">
        <v>0</v>
      </c>
      <c r="C105" s="2" t="s">
        <v>126</v>
      </c>
      <c r="D105" s="3">
        <v>46006</v>
      </c>
      <c r="E105" s="2" t="s">
        <v>3</v>
      </c>
      <c r="F105" s="2" t="s">
        <v>66</v>
      </c>
      <c r="G105" s="2" t="s">
        <v>67</v>
      </c>
      <c r="H105" s="3">
        <v>45566</v>
      </c>
      <c r="I105" s="2"/>
      <c r="J105" s="3">
        <v>46021</v>
      </c>
      <c r="K105" s="8">
        <v>-8</v>
      </c>
      <c r="L105" s="5" t="str">
        <f t="shared" si="1"/>
        <v>Current</v>
      </c>
      <c r="M105" s="6">
        <v>56</v>
      </c>
    </row>
    <row r="106" spans="1:13" x14ac:dyDescent="0.25">
      <c r="A106" s="7"/>
      <c r="B106" s="2" t="s">
        <v>0</v>
      </c>
      <c r="C106" s="2" t="s">
        <v>126</v>
      </c>
      <c r="D106" s="3">
        <v>46006</v>
      </c>
      <c r="E106" s="2" t="s">
        <v>8</v>
      </c>
      <c r="F106" s="2" t="s">
        <v>66</v>
      </c>
      <c r="G106" s="2" t="s">
        <v>67</v>
      </c>
      <c r="H106" s="3">
        <v>45566</v>
      </c>
      <c r="I106" s="2"/>
      <c r="J106" s="3">
        <v>46021</v>
      </c>
      <c r="K106" s="8">
        <v>-8</v>
      </c>
      <c r="L106" s="5" t="str">
        <f t="shared" si="1"/>
        <v>Current</v>
      </c>
      <c r="M106" s="6">
        <v>80</v>
      </c>
    </row>
    <row r="107" spans="1:13" x14ac:dyDescent="0.25">
      <c r="A107" s="7"/>
      <c r="B107" s="2" t="s">
        <v>0</v>
      </c>
      <c r="C107" s="2" t="s">
        <v>126</v>
      </c>
      <c r="D107" s="3">
        <v>46006</v>
      </c>
      <c r="E107" s="2" t="s">
        <v>9</v>
      </c>
      <c r="F107" s="2" t="s">
        <v>66</v>
      </c>
      <c r="G107" s="2" t="s">
        <v>67</v>
      </c>
      <c r="H107" s="3">
        <v>45566</v>
      </c>
      <c r="I107" s="2"/>
      <c r="J107" s="3">
        <v>46021</v>
      </c>
      <c r="K107" s="8">
        <v>-8</v>
      </c>
      <c r="L107" s="5" t="str">
        <f t="shared" si="1"/>
        <v>Current</v>
      </c>
      <c r="M107" s="6">
        <v>88</v>
      </c>
    </row>
    <row r="108" spans="1:13" x14ac:dyDescent="0.25">
      <c r="A108" s="7"/>
      <c r="B108" s="2" t="s">
        <v>0</v>
      </c>
      <c r="C108" s="2" t="s">
        <v>126</v>
      </c>
      <c r="D108" s="3">
        <v>46006</v>
      </c>
      <c r="E108" s="2" t="s">
        <v>1</v>
      </c>
      <c r="F108" s="2" t="s">
        <v>66</v>
      </c>
      <c r="G108" s="2" t="s">
        <v>67</v>
      </c>
      <c r="H108" s="3">
        <v>45566</v>
      </c>
      <c r="I108" s="2"/>
      <c r="J108" s="3">
        <v>46021</v>
      </c>
      <c r="K108" s="8">
        <v>-8</v>
      </c>
      <c r="L108" s="5" t="str">
        <f t="shared" si="1"/>
        <v>Current</v>
      </c>
      <c r="M108" s="6">
        <v>10</v>
      </c>
    </row>
    <row r="109" spans="1:13" x14ac:dyDescent="0.25">
      <c r="A109" s="7"/>
      <c r="B109" s="2" t="s">
        <v>0</v>
      </c>
      <c r="C109" s="2" t="s">
        <v>126</v>
      </c>
      <c r="D109" s="3">
        <v>46006</v>
      </c>
      <c r="E109" s="2" t="s">
        <v>1</v>
      </c>
      <c r="F109" s="2" t="s">
        <v>68</v>
      </c>
      <c r="G109" s="2" t="s">
        <v>69</v>
      </c>
      <c r="H109" s="3">
        <v>45566</v>
      </c>
      <c r="I109" s="2"/>
      <c r="J109" s="3">
        <v>46021</v>
      </c>
      <c r="K109" s="8">
        <v>-8</v>
      </c>
      <c r="L109" s="5" t="str">
        <f t="shared" si="1"/>
        <v>Current</v>
      </c>
      <c r="M109" s="6">
        <v>10</v>
      </c>
    </row>
    <row r="110" spans="1:13" x14ac:dyDescent="0.25">
      <c r="A110" s="7"/>
      <c r="B110" s="2" t="s">
        <v>0</v>
      </c>
      <c r="C110" s="2" t="s">
        <v>126</v>
      </c>
      <c r="D110" s="3">
        <v>46006</v>
      </c>
      <c r="E110" s="2" t="s">
        <v>8</v>
      </c>
      <c r="F110" s="2" t="s">
        <v>68</v>
      </c>
      <c r="G110" s="2" t="s">
        <v>69</v>
      </c>
      <c r="H110" s="3">
        <v>45566</v>
      </c>
      <c r="I110" s="2"/>
      <c r="J110" s="3">
        <v>46021</v>
      </c>
      <c r="K110" s="8">
        <v>-8</v>
      </c>
      <c r="L110" s="5" t="str">
        <f t="shared" si="1"/>
        <v>Current</v>
      </c>
      <c r="M110" s="6">
        <v>80</v>
      </c>
    </row>
    <row r="111" spans="1:13" x14ac:dyDescent="0.25">
      <c r="A111" s="7"/>
      <c r="B111" s="2" t="s">
        <v>0</v>
      </c>
      <c r="C111" s="2" t="s">
        <v>126</v>
      </c>
      <c r="D111" s="3">
        <v>46006</v>
      </c>
      <c r="E111" s="2" t="s">
        <v>3</v>
      </c>
      <c r="F111" s="2" t="s">
        <v>68</v>
      </c>
      <c r="G111" s="2" t="s">
        <v>69</v>
      </c>
      <c r="H111" s="3">
        <v>45566</v>
      </c>
      <c r="I111" s="2"/>
      <c r="J111" s="3">
        <v>46021</v>
      </c>
      <c r="K111" s="8">
        <v>-8</v>
      </c>
      <c r="L111" s="5" t="str">
        <f t="shared" si="1"/>
        <v>Current</v>
      </c>
      <c r="M111" s="6">
        <v>56</v>
      </c>
    </row>
    <row r="112" spans="1:13" x14ac:dyDescent="0.25">
      <c r="A112" s="7"/>
      <c r="B112" s="2" t="s">
        <v>0</v>
      </c>
      <c r="C112" s="2" t="s">
        <v>126</v>
      </c>
      <c r="D112" s="3">
        <v>46006</v>
      </c>
      <c r="E112" s="2" t="s">
        <v>9</v>
      </c>
      <c r="F112" s="2" t="s">
        <v>68</v>
      </c>
      <c r="G112" s="2" t="s">
        <v>69</v>
      </c>
      <c r="H112" s="3">
        <v>45566</v>
      </c>
      <c r="I112" s="2"/>
      <c r="J112" s="3">
        <v>46021</v>
      </c>
      <c r="K112" s="8">
        <v>-8</v>
      </c>
      <c r="L112" s="5" t="str">
        <f t="shared" si="1"/>
        <v>Current</v>
      </c>
      <c r="M112" s="6">
        <v>88</v>
      </c>
    </row>
    <row r="113" spans="1:13" x14ac:dyDescent="0.25">
      <c r="A113" s="7"/>
      <c r="B113" s="2" t="s">
        <v>0</v>
      </c>
      <c r="C113" s="2" t="s">
        <v>126</v>
      </c>
      <c r="D113" s="3">
        <v>46006</v>
      </c>
      <c r="E113" s="2" t="s">
        <v>6</v>
      </c>
      <c r="F113" s="2" t="s">
        <v>68</v>
      </c>
      <c r="G113" s="2" t="s">
        <v>69</v>
      </c>
      <c r="H113" s="3">
        <v>45566</v>
      </c>
      <c r="I113" s="2"/>
      <c r="J113" s="3">
        <v>46021</v>
      </c>
      <c r="K113" s="8">
        <v>-8</v>
      </c>
      <c r="L113" s="5" t="str">
        <f t="shared" si="1"/>
        <v>Current</v>
      </c>
      <c r="M113" s="6">
        <v>68</v>
      </c>
    </row>
    <row r="114" spans="1:13" x14ac:dyDescent="0.25">
      <c r="A114" s="7"/>
      <c r="B114" s="2" t="s">
        <v>0</v>
      </c>
      <c r="C114" s="2" t="s">
        <v>126</v>
      </c>
      <c r="D114" s="3">
        <v>46006</v>
      </c>
      <c r="E114" s="2" t="s">
        <v>7</v>
      </c>
      <c r="F114" s="2" t="s">
        <v>68</v>
      </c>
      <c r="G114" s="2" t="s">
        <v>69</v>
      </c>
      <c r="H114" s="3">
        <v>45566</v>
      </c>
      <c r="I114" s="2"/>
      <c r="J114" s="3">
        <v>46021</v>
      </c>
      <c r="K114" s="8">
        <v>-8</v>
      </c>
      <c r="L114" s="5" t="str">
        <f t="shared" si="1"/>
        <v>Current</v>
      </c>
      <c r="M114" s="6">
        <v>1500</v>
      </c>
    </row>
    <row r="115" spans="1:13" x14ac:dyDescent="0.25">
      <c r="A115" s="7"/>
      <c r="B115" s="2" t="s">
        <v>0</v>
      </c>
      <c r="C115" s="2" t="s">
        <v>126</v>
      </c>
      <c r="D115" s="3">
        <v>46006</v>
      </c>
      <c r="E115" s="2" t="s">
        <v>1</v>
      </c>
      <c r="F115" s="2" t="s">
        <v>70</v>
      </c>
      <c r="G115" s="2" t="s">
        <v>71</v>
      </c>
      <c r="H115" s="3">
        <v>45717</v>
      </c>
      <c r="I115" s="2"/>
      <c r="J115" s="3">
        <v>46021</v>
      </c>
      <c r="K115" s="8">
        <v>-8</v>
      </c>
      <c r="L115" s="5" t="str">
        <f t="shared" si="1"/>
        <v>Current</v>
      </c>
      <c r="M115" s="6">
        <v>10</v>
      </c>
    </row>
    <row r="116" spans="1:13" x14ac:dyDescent="0.25">
      <c r="A116" s="7"/>
      <c r="B116" s="2" t="s">
        <v>0</v>
      </c>
      <c r="C116" s="2" t="s">
        <v>126</v>
      </c>
      <c r="D116" s="3">
        <v>46006</v>
      </c>
      <c r="E116" s="2" t="s">
        <v>6</v>
      </c>
      <c r="F116" s="2" t="s">
        <v>70</v>
      </c>
      <c r="G116" s="2" t="s">
        <v>71</v>
      </c>
      <c r="H116" s="3">
        <v>45717</v>
      </c>
      <c r="I116" s="2"/>
      <c r="J116" s="3">
        <v>46021</v>
      </c>
      <c r="K116" s="8">
        <v>-8</v>
      </c>
      <c r="L116" s="5" t="str">
        <f t="shared" si="1"/>
        <v>Current</v>
      </c>
      <c r="M116" s="6">
        <v>68</v>
      </c>
    </row>
    <row r="117" spans="1:13" x14ac:dyDescent="0.25">
      <c r="A117" s="7"/>
      <c r="B117" s="2" t="s">
        <v>0</v>
      </c>
      <c r="C117" s="2" t="s">
        <v>126</v>
      </c>
      <c r="D117" s="3">
        <v>46006</v>
      </c>
      <c r="E117" s="2" t="s">
        <v>7</v>
      </c>
      <c r="F117" s="2" t="s">
        <v>70</v>
      </c>
      <c r="G117" s="2" t="s">
        <v>71</v>
      </c>
      <c r="H117" s="3">
        <v>45717</v>
      </c>
      <c r="I117" s="2"/>
      <c r="J117" s="3">
        <v>46021</v>
      </c>
      <c r="K117" s="8">
        <v>-8</v>
      </c>
      <c r="L117" s="5" t="str">
        <f t="shared" si="1"/>
        <v>Current</v>
      </c>
      <c r="M117" s="6">
        <v>1500</v>
      </c>
    </row>
    <row r="118" spans="1:13" x14ac:dyDescent="0.25">
      <c r="A118" s="7"/>
      <c r="B118" s="2" t="s">
        <v>0</v>
      </c>
      <c r="C118" s="2" t="s">
        <v>126</v>
      </c>
      <c r="D118" s="3">
        <v>46006</v>
      </c>
      <c r="E118" s="2" t="s">
        <v>9</v>
      </c>
      <c r="F118" s="2" t="s">
        <v>70</v>
      </c>
      <c r="G118" s="2" t="s">
        <v>71</v>
      </c>
      <c r="H118" s="3">
        <v>45717</v>
      </c>
      <c r="I118" s="2"/>
      <c r="J118" s="3">
        <v>46021</v>
      </c>
      <c r="K118" s="8">
        <v>-8</v>
      </c>
      <c r="L118" s="5" t="str">
        <f t="shared" si="1"/>
        <v>Current</v>
      </c>
      <c r="M118" s="6">
        <v>88</v>
      </c>
    </row>
    <row r="119" spans="1:13" x14ac:dyDescent="0.25">
      <c r="A119" s="7"/>
      <c r="B119" s="2" t="s">
        <v>0</v>
      </c>
      <c r="C119" s="2" t="s">
        <v>126</v>
      </c>
      <c r="D119" s="3">
        <v>46006</v>
      </c>
      <c r="E119" s="2" t="s">
        <v>8</v>
      </c>
      <c r="F119" s="2" t="s">
        <v>70</v>
      </c>
      <c r="G119" s="2" t="s">
        <v>71</v>
      </c>
      <c r="H119" s="3">
        <v>45717</v>
      </c>
      <c r="I119" s="2"/>
      <c r="J119" s="3">
        <v>46021</v>
      </c>
      <c r="K119" s="8">
        <v>-8</v>
      </c>
      <c r="L119" s="5" t="str">
        <f t="shared" si="1"/>
        <v>Current</v>
      </c>
      <c r="M119" s="6">
        <v>80</v>
      </c>
    </row>
    <row r="120" spans="1:13" x14ac:dyDescent="0.25">
      <c r="A120" s="7"/>
      <c r="B120" s="2" t="s">
        <v>0</v>
      </c>
      <c r="C120" s="2" t="s">
        <v>126</v>
      </c>
      <c r="D120" s="3">
        <v>46006</v>
      </c>
      <c r="E120" s="2" t="s">
        <v>3</v>
      </c>
      <c r="F120" s="2" t="s">
        <v>70</v>
      </c>
      <c r="G120" s="2" t="s">
        <v>71</v>
      </c>
      <c r="H120" s="3">
        <v>45717</v>
      </c>
      <c r="I120" s="2"/>
      <c r="J120" s="3">
        <v>46021</v>
      </c>
      <c r="K120" s="8">
        <v>-8</v>
      </c>
      <c r="L120" s="5" t="str">
        <f t="shared" si="1"/>
        <v>Current</v>
      </c>
      <c r="M120" s="6">
        <v>56</v>
      </c>
    </row>
    <row r="121" spans="1:13" x14ac:dyDescent="0.25">
      <c r="A121" s="7"/>
      <c r="B121" s="2" t="s">
        <v>0</v>
      </c>
      <c r="C121" s="2" t="s">
        <v>126</v>
      </c>
      <c r="D121" s="3">
        <v>46006</v>
      </c>
      <c r="E121" s="2" t="s">
        <v>6</v>
      </c>
      <c r="F121" s="2" t="s">
        <v>72</v>
      </c>
      <c r="G121" s="2" t="s">
        <v>73</v>
      </c>
      <c r="H121" s="3">
        <v>45717</v>
      </c>
      <c r="I121" s="2"/>
      <c r="J121" s="3">
        <v>46021</v>
      </c>
      <c r="K121" s="8">
        <v>-8</v>
      </c>
      <c r="L121" s="5" t="str">
        <f t="shared" si="1"/>
        <v>Current</v>
      </c>
      <c r="M121" s="6">
        <v>68</v>
      </c>
    </row>
    <row r="122" spans="1:13" x14ac:dyDescent="0.25">
      <c r="A122" s="7"/>
      <c r="B122" s="2" t="s">
        <v>0</v>
      </c>
      <c r="C122" s="2" t="s">
        <v>126</v>
      </c>
      <c r="D122" s="3">
        <v>46006</v>
      </c>
      <c r="E122" s="2" t="s">
        <v>1</v>
      </c>
      <c r="F122" s="2" t="s">
        <v>72</v>
      </c>
      <c r="G122" s="2" t="s">
        <v>73</v>
      </c>
      <c r="H122" s="3">
        <v>45717</v>
      </c>
      <c r="I122" s="2"/>
      <c r="J122" s="3">
        <v>46021</v>
      </c>
      <c r="K122" s="8">
        <v>-8</v>
      </c>
      <c r="L122" s="5" t="str">
        <f t="shared" si="1"/>
        <v>Current</v>
      </c>
      <c r="M122" s="6">
        <v>10</v>
      </c>
    </row>
    <row r="123" spans="1:13" x14ac:dyDescent="0.25">
      <c r="A123" s="7"/>
      <c r="B123" s="2" t="s">
        <v>0</v>
      </c>
      <c r="C123" s="2" t="s">
        <v>126</v>
      </c>
      <c r="D123" s="3">
        <v>46006</v>
      </c>
      <c r="E123" s="2" t="s">
        <v>3</v>
      </c>
      <c r="F123" s="2" t="s">
        <v>72</v>
      </c>
      <c r="G123" s="2" t="s">
        <v>73</v>
      </c>
      <c r="H123" s="3">
        <v>45717</v>
      </c>
      <c r="I123" s="2"/>
      <c r="J123" s="3">
        <v>46021</v>
      </c>
      <c r="K123" s="8">
        <v>-8</v>
      </c>
      <c r="L123" s="5" t="str">
        <f t="shared" si="1"/>
        <v>Current</v>
      </c>
      <c r="M123" s="6">
        <v>56</v>
      </c>
    </row>
    <row r="124" spans="1:13" x14ac:dyDescent="0.25">
      <c r="A124" s="7"/>
      <c r="B124" s="2" t="s">
        <v>0</v>
      </c>
      <c r="C124" s="2" t="s">
        <v>126</v>
      </c>
      <c r="D124" s="3">
        <v>46006</v>
      </c>
      <c r="E124" s="2" t="s">
        <v>9</v>
      </c>
      <c r="F124" s="2" t="s">
        <v>72</v>
      </c>
      <c r="G124" s="2" t="s">
        <v>73</v>
      </c>
      <c r="H124" s="3">
        <v>45717</v>
      </c>
      <c r="I124" s="2"/>
      <c r="J124" s="3">
        <v>46021</v>
      </c>
      <c r="K124" s="8">
        <v>-8</v>
      </c>
      <c r="L124" s="5" t="str">
        <f t="shared" si="1"/>
        <v>Current</v>
      </c>
      <c r="M124" s="6">
        <v>88</v>
      </c>
    </row>
    <row r="125" spans="1:13" x14ac:dyDescent="0.25">
      <c r="A125" s="7"/>
      <c r="B125" s="2" t="s">
        <v>0</v>
      </c>
      <c r="C125" s="2" t="s">
        <v>126</v>
      </c>
      <c r="D125" s="3">
        <v>46006</v>
      </c>
      <c r="E125" s="2" t="s">
        <v>8</v>
      </c>
      <c r="F125" s="2" t="s">
        <v>72</v>
      </c>
      <c r="G125" s="2" t="s">
        <v>73</v>
      </c>
      <c r="H125" s="3">
        <v>45717</v>
      </c>
      <c r="I125" s="2"/>
      <c r="J125" s="3">
        <v>46021</v>
      </c>
      <c r="K125" s="8">
        <v>-8</v>
      </c>
      <c r="L125" s="5" t="str">
        <f t="shared" si="1"/>
        <v>Current</v>
      </c>
      <c r="M125" s="6">
        <v>80</v>
      </c>
    </row>
    <row r="126" spans="1:13" x14ac:dyDescent="0.25">
      <c r="A126" s="7"/>
      <c r="B126" s="2" t="s">
        <v>0</v>
      </c>
      <c r="C126" s="2" t="s">
        <v>126</v>
      </c>
      <c r="D126" s="3">
        <v>46006</v>
      </c>
      <c r="E126" s="2" t="s">
        <v>7</v>
      </c>
      <c r="F126" s="2" t="s">
        <v>72</v>
      </c>
      <c r="G126" s="2" t="s">
        <v>73</v>
      </c>
      <c r="H126" s="3">
        <v>45717</v>
      </c>
      <c r="I126" s="2"/>
      <c r="J126" s="3">
        <v>46021</v>
      </c>
      <c r="K126" s="8">
        <v>-8</v>
      </c>
      <c r="L126" s="5" t="str">
        <f t="shared" si="1"/>
        <v>Current</v>
      </c>
      <c r="M126" s="6">
        <v>1500</v>
      </c>
    </row>
    <row r="127" spans="1:13" x14ac:dyDescent="0.25">
      <c r="A127" s="9" t="s">
        <v>122</v>
      </c>
      <c r="B127" s="9"/>
      <c r="C127" s="9"/>
      <c r="D127" s="10"/>
      <c r="E127" s="9"/>
      <c r="F127" s="9"/>
      <c r="G127" s="9"/>
      <c r="H127" s="10"/>
      <c r="I127" s="9"/>
      <c r="J127" s="10"/>
      <c r="K127" s="11"/>
      <c r="L127" s="5" t="str">
        <f t="shared" si="1"/>
        <v>Current</v>
      </c>
      <c r="M127" s="12">
        <f>SUM(M56:M126)</f>
        <v>16366.441743119267</v>
      </c>
    </row>
    <row r="128" spans="1:13" x14ac:dyDescent="0.25">
      <c r="A128" s="1" t="s">
        <v>123</v>
      </c>
      <c r="B128" s="2"/>
      <c r="C128" s="2"/>
      <c r="D128" s="3"/>
      <c r="E128" s="2"/>
      <c r="F128" s="2"/>
      <c r="G128" s="2"/>
      <c r="H128" s="3"/>
      <c r="I128" s="2"/>
      <c r="J128" s="3"/>
      <c r="K128" s="4"/>
      <c r="L128" s="5" t="str">
        <f t="shared" si="1"/>
        <v>Current</v>
      </c>
      <c r="M128" s="6"/>
    </row>
    <row r="129" spans="1:13" x14ac:dyDescent="0.25">
      <c r="A129" s="7"/>
      <c r="B129" s="2" t="s">
        <v>0</v>
      </c>
      <c r="C129" s="2" t="s">
        <v>125</v>
      </c>
      <c r="D129" s="3">
        <v>45465</v>
      </c>
      <c r="E129" s="2" t="s">
        <v>87</v>
      </c>
      <c r="F129" s="2" t="s">
        <v>88</v>
      </c>
      <c r="G129" s="2" t="s">
        <v>89</v>
      </c>
      <c r="H129" s="3">
        <v>44986</v>
      </c>
      <c r="I129" s="2"/>
      <c r="J129" s="3">
        <v>45480</v>
      </c>
      <c r="K129" s="8">
        <v>533</v>
      </c>
      <c r="L129" s="5" t="str">
        <f t="shared" si="1"/>
        <v>More than 90 days</v>
      </c>
      <c r="M129" s="6">
        <v>50</v>
      </c>
    </row>
    <row r="130" spans="1:13" x14ac:dyDescent="0.25">
      <c r="A130" s="7"/>
      <c r="B130" s="2" t="s">
        <v>0</v>
      </c>
      <c r="C130" s="2" t="s">
        <v>125</v>
      </c>
      <c r="D130" s="3">
        <v>45465</v>
      </c>
      <c r="E130" s="2" t="s">
        <v>1</v>
      </c>
      <c r="F130" s="2" t="s">
        <v>88</v>
      </c>
      <c r="G130" s="2" t="s">
        <v>89</v>
      </c>
      <c r="H130" s="3">
        <v>44986</v>
      </c>
      <c r="I130" s="2"/>
      <c r="J130" s="3">
        <v>45480</v>
      </c>
      <c r="K130" s="8">
        <v>533</v>
      </c>
      <c r="L130" s="5" t="str">
        <f t="shared" si="1"/>
        <v>More than 90 days</v>
      </c>
      <c r="M130" s="6">
        <v>10</v>
      </c>
    </row>
    <row r="131" spans="1:13" s="24" customFormat="1" x14ac:dyDescent="0.25">
      <c r="A131" s="18"/>
      <c r="B131" s="19" t="s">
        <v>0</v>
      </c>
      <c r="C131" s="2" t="s">
        <v>125</v>
      </c>
      <c r="D131" s="20">
        <v>45571</v>
      </c>
      <c r="E131" s="19" t="s">
        <v>1</v>
      </c>
      <c r="F131" s="19" t="s">
        <v>90</v>
      </c>
      <c r="G131" s="19" t="s">
        <v>89</v>
      </c>
      <c r="H131" s="20">
        <v>44986</v>
      </c>
      <c r="I131" s="19"/>
      <c r="J131" s="20">
        <v>45586</v>
      </c>
      <c r="K131" s="21">
        <v>427</v>
      </c>
      <c r="L131" s="22" t="str">
        <f t="shared" si="1"/>
        <v>More than 90 days</v>
      </c>
      <c r="M131" s="6">
        <v>10</v>
      </c>
    </row>
    <row r="132" spans="1:13" s="24" customFormat="1" x14ac:dyDescent="0.25">
      <c r="A132" s="18"/>
      <c r="B132" s="19" t="s">
        <v>0</v>
      </c>
      <c r="C132" s="2" t="s">
        <v>125</v>
      </c>
      <c r="D132" s="20">
        <v>45571</v>
      </c>
      <c r="E132" s="19" t="s">
        <v>91</v>
      </c>
      <c r="F132" s="19" t="s">
        <v>90</v>
      </c>
      <c r="G132" s="19" t="s">
        <v>89</v>
      </c>
      <c r="H132" s="20">
        <v>44986</v>
      </c>
      <c r="I132" s="19"/>
      <c r="J132" s="20">
        <v>45586</v>
      </c>
      <c r="K132" s="21">
        <v>427</v>
      </c>
      <c r="L132" s="22" t="str">
        <f t="shared" si="1"/>
        <v>More than 90 days</v>
      </c>
      <c r="M132" s="23">
        <v>200</v>
      </c>
    </row>
    <row r="133" spans="1:13" s="24" customFormat="1" x14ac:dyDescent="0.25">
      <c r="A133" s="18"/>
      <c r="B133" s="19" t="s">
        <v>0</v>
      </c>
      <c r="C133" s="2" t="s">
        <v>125</v>
      </c>
      <c r="D133" s="20">
        <v>45586</v>
      </c>
      <c r="E133" s="19" t="s">
        <v>92</v>
      </c>
      <c r="F133" s="19" t="s">
        <v>93</v>
      </c>
      <c r="G133" s="19" t="s">
        <v>89</v>
      </c>
      <c r="H133" s="20">
        <v>44986</v>
      </c>
      <c r="I133" s="19"/>
      <c r="J133" s="20">
        <v>45601</v>
      </c>
      <c r="K133" s="21">
        <v>412</v>
      </c>
      <c r="L133" s="22" t="str">
        <f t="shared" si="1"/>
        <v>More than 90 days</v>
      </c>
      <c r="M133" s="23">
        <v>200</v>
      </c>
    </row>
    <row r="134" spans="1:13" s="24" customFormat="1" x14ac:dyDescent="0.25">
      <c r="A134" s="18"/>
      <c r="B134" s="19" t="s">
        <v>0</v>
      </c>
      <c r="C134" s="2" t="s">
        <v>125</v>
      </c>
      <c r="D134" s="20">
        <v>45586</v>
      </c>
      <c r="E134" s="19" t="s">
        <v>1</v>
      </c>
      <c r="F134" s="19" t="s">
        <v>93</v>
      </c>
      <c r="G134" s="19" t="s">
        <v>89</v>
      </c>
      <c r="H134" s="20">
        <v>44986</v>
      </c>
      <c r="I134" s="19"/>
      <c r="J134" s="20">
        <v>45601</v>
      </c>
      <c r="K134" s="21">
        <v>412</v>
      </c>
      <c r="L134" s="22" t="str">
        <f t="shared" si="1"/>
        <v>More than 90 days</v>
      </c>
      <c r="M134" s="6">
        <v>10</v>
      </c>
    </row>
    <row r="135" spans="1:13" s="24" customFormat="1" x14ac:dyDescent="0.25">
      <c r="A135" s="18"/>
      <c r="B135" s="19" t="s">
        <v>0</v>
      </c>
      <c r="C135" s="2" t="s">
        <v>125</v>
      </c>
      <c r="D135" s="20">
        <v>45586</v>
      </c>
      <c r="E135" s="19" t="s">
        <v>94</v>
      </c>
      <c r="F135" s="19" t="s">
        <v>95</v>
      </c>
      <c r="G135" s="19" t="s">
        <v>89</v>
      </c>
      <c r="H135" s="20">
        <v>44986</v>
      </c>
      <c r="I135" s="19"/>
      <c r="J135" s="20">
        <v>45601</v>
      </c>
      <c r="K135" s="21">
        <v>412</v>
      </c>
      <c r="L135" s="22" t="str">
        <f t="shared" ref="L135:L180" si="2">IF(K135&lt;=15,"Current",IF(AND(K135&gt;15,K135&lt;=45),"30 days",IF(AND(K135&gt;45,K135&lt;=75),"60 days",IF(AND(K135&gt;75,K135&lt;=105),"90 days","More than 90 days"))))</f>
        <v>More than 90 days</v>
      </c>
      <c r="M135" s="23">
        <v>200</v>
      </c>
    </row>
    <row r="136" spans="1:13" s="24" customFormat="1" x14ac:dyDescent="0.25">
      <c r="A136" s="18"/>
      <c r="B136" s="19" t="s">
        <v>0</v>
      </c>
      <c r="C136" s="2" t="s">
        <v>125</v>
      </c>
      <c r="D136" s="20">
        <v>45586</v>
      </c>
      <c r="E136" s="19" t="s">
        <v>1</v>
      </c>
      <c r="F136" s="19" t="s">
        <v>95</v>
      </c>
      <c r="G136" s="19" t="s">
        <v>89</v>
      </c>
      <c r="H136" s="20">
        <v>44986</v>
      </c>
      <c r="I136" s="19"/>
      <c r="J136" s="20">
        <v>45601</v>
      </c>
      <c r="K136" s="21">
        <v>412</v>
      </c>
      <c r="L136" s="22" t="str">
        <f t="shared" si="2"/>
        <v>More than 90 days</v>
      </c>
      <c r="M136" s="6">
        <v>10</v>
      </c>
    </row>
    <row r="137" spans="1:13" s="24" customFormat="1" x14ac:dyDescent="0.25">
      <c r="A137" s="18"/>
      <c r="B137" s="19" t="s">
        <v>0</v>
      </c>
      <c r="C137" s="2" t="s">
        <v>125</v>
      </c>
      <c r="D137" s="20">
        <v>45588</v>
      </c>
      <c r="E137" s="19" t="s">
        <v>96</v>
      </c>
      <c r="F137" s="19" t="s">
        <v>97</v>
      </c>
      <c r="G137" s="19" t="s">
        <v>89</v>
      </c>
      <c r="H137" s="20">
        <v>44986</v>
      </c>
      <c r="I137" s="19"/>
      <c r="J137" s="20">
        <v>45603</v>
      </c>
      <c r="K137" s="21">
        <v>410</v>
      </c>
      <c r="L137" s="22" t="str">
        <f t="shared" si="2"/>
        <v>More than 90 days</v>
      </c>
      <c r="M137" s="23">
        <v>200</v>
      </c>
    </row>
    <row r="138" spans="1:13" s="24" customFormat="1" x14ac:dyDescent="0.25">
      <c r="A138" s="18"/>
      <c r="B138" s="19" t="s">
        <v>0</v>
      </c>
      <c r="C138" s="2" t="s">
        <v>125</v>
      </c>
      <c r="D138" s="20">
        <v>45588</v>
      </c>
      <c r="E138" s="19" t="s">
        <v>1</v>
      </c>
      <c r="F138" s="19" t="s">
        <v>97</v>
      </c>
      <c r="G138" s="19" t="s">
        <v>89</v>
      </c>
      <c r="H138" s="20">
        <v>44986</v>
      </c>
      <c r="I138" s="19"/>
      <c r="J138" s="20">
        <v>45603</v>
      </c>
      <c r="K138" s="21">
        <v>410</v>
      </c>
      <c r="L138" s="22" t="str">
        <f t="shared" si="2"/>
        <v>More than 90 days</v>
      </c>
      <c r="M138" s="6">
        <v>10</v>
      </c>
    </row>
    <row r="139" spans="1:13" x14ac:dyDescent="0.25">
      <c r="A139" s="7"/>
      <c r="B139" s="2" t="s">
        <v>0</v>
      </c>
      <c r="C139" s="2" t="s">
        <v>125</v>
      </c>
      <c r="D139" s="3">
        <v>45975</v>
      </c>
      <c r="E139" s="2" t="s">
        <v>98</v>
      </c>
      <c r="F139" s="2" t="s">
        <v>99</v>
      </c>
      <c r="G139" s="2" t="s">
        <v>100</v>
      </c>
      <c r="H139" s="3">
        <v>45717</v>
      </c>
      <c r="I139" s="2"/>
      <c r="J139" s="3">
        <v>45990</v>
      </c>
      <c r="K139" s="8">
        <v>23</v>
      </c>
      <c r="L139" s="5" t="str">
        <f t="shared" si="2"/>
        <v>30 days</v>
      </c>
      <c r="M139" s="6">
        <v>25</v>
      </c>
    </row>
    <row r="140" spans="1:13" x14ac:dyDescent="0.25">
      <c r="A140" s="7"/>
      <c r="B140" s="2" t="s">
        <v>0</v>
      </c>
      <c r="C140" s="2" t="s">
        <v>125</v>
      </c>
      <c r="D140" s="3">
        <v>45975</v>
      </c>
      <c r="E140" s="2" t="s">
        <v>1</v>
      </c>
      <c r="F140" s="2" t="s">
        <v>99</v>
      </c>
      <c r="G140" s="2" t="s">
        <v>100</v>
      </c>
      <c r="H140" s="3">
        <v>45717</v>
      </c>
      <c r="I140" s="2"/>
      <c r="J140" s="3">
        <v>45990</v>
      </c>
      <c r="K140" s="8">
        <v>23</v>
      </c>
      <c r="L140" s="5" t="str">
        <f t="shared" si="2"/>
        <v>30 days</v>
      </c>
      <c r="M140" s="6">
        <v>10</v>
      </c>
    </row>
    <row r="141" spans="1:13" x14ac:dyDescent="0.25">
      <c r="A141" s="7"/>
      <c r="B141" s="2" t="s">
        <v>0</v>
      </c>
      <c r="C141" s="2" t="s">
        <v>125</v>
      </c>
      <c r="D141" s="3">
        <v>46006</v>
      </c>
      <c r="E141" s="2" t="s">
        <v>8</v>
      </c>
      <c r="F141" s="2" t="s">
        <v>101</v>
      </c>
      <c r="G141" s="2" t="s">
        <v>100</v>
      </c>
      <c r="H141" s="3">
        <v>45717</v>
      </c>
      <c r="I141" s="2"/>
      <c r="J141" s="3">
        <v>46021</v>
      </c>
      <c r="K141" s="8">
        <v>-8</v>
      </c>
      <c r="L141" s="5" t="str">
        <f t="shared" si="2"/>
        <v>Current</v>
      </c>
      <c r="M141" s="6">
        <v>80</v>
      </c>
    </row>
    <row r="142" spans="1:13" x14ac:dyDescent="0.25">
      <c r="A142" s="7"/>
      <c r="B142" s="2" t="s">
        <v>0</v>
      </c>
      <c r="C142" s="2" t="s">
        <v>125</v>
      </c>
      <c r="D142" s="3">
        <v>46006</v>
      </c>
      <c r="E142" s="2" t="s">
        <v>7</v>
      </c>
      <c r="F142" s="2" t="s">
        <v>101</v>
      </c>
      <c r="G142" s="2" t="s">
        <v>100</v>
      </c>
      <c r="H142" s="3">
        <v>45717</v>
      </c>
      <c r="I142" s="2"/>
      <c r="J142" s="3">
        <v>46021</v>
      </c>
      <c r="K142" s="8">
        <v>-8</v>
      </c>
      <c r="L142" s="5" t="str">
        <f t="shared" si="2"/>
        <v>Current</v>
      </c>
      <c r="M142" s="6">
        <v>1500</v>
      </c>
    </row>
    <row r="143" spans="1:13" x14ac:dyDescent="0.25">
      <c r="A143" s="7"/>
      <c r="B143" s="2" t="s">
        <v>0</v>
      </c>
      <c r="C143" s="2" t="s">
        <v>125</v>
      </c>
      <c r="D143" s="3">
        <v>46006</v>
      </c>
      <c r="E143" s="2" t="s">
        <v>9</v>
      </c>
      <c r="F143" s="2" t="s">
        <v>101</v>
      </c>
      <c r="G143" s="2" t="s">
        <v>100</v>
      </c>
      <c r="H143" s="3">
        <v>45717</v>
      </c>
      <c r="I143" s="2"/>
      <c r="J143" s="3">
        <v>46021</v>
      </c>
      <c r="K143" s="8">
        <v>-8</v>
      </c>
      <c r="L143" s="5" t="str">
        <f t="shared" si="2"/>
        <v>Current</v>
      </c>
      <c r="M143" s="6">
        <v>88</v>
      </c>
    </row>
    <row r="144" spans="1:13" x14ac:dyDescent="0.25">
      <c r="A144" s="7"/>
      <c r="B144" s="2" t="s">
        <v>0</v>
      </c>
      <c r="C144" s="2" t="s">
        <v>125</v>
      </c>
      <c r="D144" s="3">
        <v>46006</v>
      </c>
      <c r="E144" s="2" t="s">
        <v>1</v>
      </c>
      <c r="F144" s="2" t="s">
        <v>101</v>
      </c>
      <c r="G144" s="2" t="s">
        <v>100</v>
      </c>
      <c r="H144" s="3">
        <v>45717</v>
      </c>
      <c r="I144" s="2"/>
      <c r="J144" s="3">
        <v>46021</v>
      </c>
      <c r="K144" s="8">
        <v>-8</v>
      </c>
      <c r="L144" s="5" t="str">
        <f t="shared" si="2"/>
        <v>Current</v>
      </c>
      <c r="M144" s="6">
        <v>10</v>
      </c>
    </row>
    <row r="145" spans="1:13" x14ac:dyDescent="0.25">
      <c r="A145" s="7"/>
      <c r="B145" s="2" t="s">
        <v>0</v>
      </c>
      <c r="C145" s="2" t="s">
        <v>125</v>
      </c>
      <c r="D145" s="3">
        <v>46006</v>
      </c>
      <c r="E145" s="2" t="s">
        <v>3</v>
      </c>
      <c r="F145" s="2" t="s">
        <v>101</v>
      </c>
      <c r="G145" s="2" t="s">
        <v>100</v>
      </c>
      <c r="H145" s="3">
        <v>45717</v>
      </c>
      <c r="I145" s="2"/>
      <c r="J145" s="3">
        <v>46021</v>
      </c>
      <c r="K145" s="8">
        <v>-8</v>
      </c>
      <c r="L145" s="5" t="str">
        <f t="shared" si="2"/>
        <v>Current</v>
      </c>
      <c r="M145" s="6">
        <v>56</v>
      </c>
    </row>
    <row r="146" spans="1:13" x14ac:dyDescent="0.25">
      <c r="A146" s="7"/>
      <c r="B146" s="2" t="s">
        <v>0</v>
      </c>
      <c r="C146" s="2" t="s">
        <v>125</v>
      </c>
      <c r="D146" s="3">
        <v>46006</v>
      </c>
      <c r="E146" s="2" t="s">
        <v>6</v>
      </c>
      <c r="F146" s="2" t="s">
        <v>101</v>
      </c>
      <c r="G146" s="2" t="s">
        <v>100</v>
      </c>
      <c r="H146" s="3">
        <v>45717</v>
      </c>
      <c r="I146" s="2"/>
      <c r="J146" s="3">
        <v>46021</v>
      </c>
      <c r="K146" s="8">
        <v>-8</v>
      </c>
      <c r="L146" s="5" t="str">
        <f t="shared" si="2"/>
        <v>Current</v>
      </c>
      <c r="M146" s="6">
        <v>68</v>
      </c>
    </row>
    <row r="147" spans="1:13" x14ac:dyDescent="0.25">
      <c r="A147" s="7"/>
      <c r="B147" s="2" t="s">
        <v>0</v>
      </c>
      <c r="C147" s="2" t="s">
        <v>125</v>
      </c>
      <c r="D147" s="3">
        <v>46006</v>
      </c>
      <c r="E147" s="2" t="s">
        <v>9</v>
      </c>
      <c r="F147" s="2" t="s">
        <v>102</v>
      </c>
      <c r="G147" s="2" t="s">
        <v>103</v>
      </c>
      <c r="H147" s="3">
        <v>45748</v>
      </c>
      <c r="I147" s="2"/>
      <c r="J147" s="3">
        <v>46021</v>
      </c>
      <c r="K147" s="8">
        <v>-8</v>
      </c>
      <c r="L147" s="5" t="str">
        <f t="shared" si="2"/>
        <v>Current</v>
      </c>
      <c r="M147" s="6">
        <v>88</v>
      </c>
    </row>
    <row r="148" spans="1:13" x14ac:dyDescent="0.25">
      <c r="A148" s="7"/>
      <c r="B148" s="2" t="s">
        <v>0</v>
      </c>
      <c r="C148" s="2" t="s">
        <v>125</v>
      </c>
      <c r="D148" s="3">
        <v>46006</v>
      </c>
      <c r="E148" s="2" t="s">
        <v>6</v>
      </c>
      <c r="F148" s="2" t="s">
        <v>102</v>
      </c>
      <c r="G148" s="2" t="s">
        <v>103</v>
      </c>
      <c r="H148" s="3">
        <v>45748</v>
      </c>
      <c r="I148" s="2"/>
      <c r="J148" s="3">
        <v>46021</v>
      </c>
      <c r="K148" s="8">
        <v>-8</v>
      </c>
      <c r="L148" s="5" t="str">
        <f t="shared" si="2"/>
        <v>Current</v>
      </c>
      <c r="M148" s="6">
        <v>68</v>
      </c>
    </row>
    <row r="149" spans="1:13" x14ac:dyDescent="0.25">
      <c r="A149" s="7"/>
      <c r="B149" s="2" t="s">
        <v>0</v>
      </c>
      <c r="C149" s="2" t="s">
        <v>125</v>
      </c>
      <c r="D149" s="3">
        <v>46006</v>
      </c>
      <c r="E149" s="2" t="s">
        <v>3</v>
      </c>
      <c r="F149" s="2" t="s">
        <v>102</v>
      </c>
      <c r="G149" s="2" t="s">
        <v>103</v>
      </c>
      <c r="H149" s="3">
        <v>45748</v>
      </c>
      <c r="I149" s="2"/>
      <c r="J149" s="3">
        <v>46021</v>
      </c>
      <c r="K149" s="8">
        <v>-8</v>
      </c>
      <c r="L149" s="5" t="str">
        <f t="shared" si="2"/>
        <v>Current</v>
      </c>
      <c r="M149" s="6">
        <v>56</v>
      </c>
    </row>
    <row r="150" spans="1:13" x14ac:dyDescent="0.25">
      <c r="A150" s="7"/>
      <c r="B150" s="2" t="s">
        <v>0</v>
      </c>
      <c r="C150" s="2" t="s">
        <v>125</v>
      </c>
      <c r="D150" s="3">
        <v>46006</v>
      </c>
      <c r="E150" s="2" t="s">
        <v>8</v>
      </c>
      <c r="F150" s="2" t="s">
        <v>102</v>
      </c>
      <c r="G150" s="2" t="s">
        <v>103</v>
      </c>
      <c r="H150" s="3">
        <v>45748</v>
      </c>
      <c r="I150" s="2"/>
      <c r="J150" s="3">
        <v>46021</v>
      </c>
      <c r="K150" s="8">
        <v>-8</v>
      </c>
      <c r="L150" s="5" t="str">
        <f t="shared" si="2"/>
        <v>Current</v>
      </c>
      <c r="M150" s="6">
        <v>80</v>
      </c>
    </row>
    <row r="151" spans="1:13" x14ac:dyDescent="0.25">
      <c r="A151" s="7"/>
      <c r="B151" s="2" t="s">
        <v>0</v>
      </c>
      <c r="C151" s="2" t="s">
        <v>125</v>
      </c>
      <c r="D151" s="3">
        <v>46006</v>
      </c>
      <c r="E151" s="2" t="s">
        <v>1</v>
      </c>
      <c r="F151" s="2" t="s">
        <v>102</v>
      </c>
      <c r="G151" s="2" t="s">
        <v>103</v>
      </c>
      <c r="H151" s="3">
        <v>45748</v>
      </c>
      <c r="I151" s="2"/>
      <c r="J151" s="3">
        <v>46021</v>
      </c>
      <c r="K151" s="8">
        <v>-8</v>
      </c>
      <c r="L151" s="5" t="str">
        <f t="shared" si="2"/>
        <v>Current</v>
      </c>
      <c r="M151" s="6">
        <v>10</v>
      </c>
    </row>
    <row r="152" spans="1:13" x14ac:dyDescent="0.25">
      <c r="A152" s="7"/>
      <c r="B152" s="2" t="s">
        <v>0</v>
      </c>
      <c r="C152" s="2" t="s">
        <v>125</v>
      </c>
      <c r="D152" s="3">
        <v>46006</v>
      </c>
      <c r="E152" s="2" t="s">
        <v>7</v>
      </c>
      <c r="F152" s="2" t="s">
        <v>102</v>
      </c>
      <c r="G152" s="2" t="s">
        <v>103</v>
      </c>
      <c r="H152" s="3">
        <v>45748</v>
      </c>
      <c r="I152" s="2"/>
      <c r="J152" s="3">
        <v>46021</v>
      </c>
      <c r="K152" s="8">
        <v>-8</v>
      </c>
      <c r="L152" s="5" t="str">
        <f t="shared" si="2"/>
        <v>Current</v>
      </c>
      <c r="M152" s="6">
        <v>1500</v>
      </c>
    </row>
    <row r="153" spans="1:13" x14ac:dyDescent="0.25">
      <c r="A153" s="9" t="s">
        <v>124</v>
      </c>
      <c r="B153" s="9"/>
      <c r="C153" s="9"/>
      <c r="D153" s="10"/>
      <c r="E153" s="9"/>
      <c r="F153" s="9"/>
      <c r="G153" s="9"/>
      <c r="H153" s="10"/>
      <c r="I153" s="9"/>
      <c r="J153" s="10"/>
      <c r="K153" s="11"/>
      <c r="L153" s="5" t="str">
        <f t="shared" si="2"/>
        <v>Current</v>
      </c>
      <c r="M153" s="12">
        <f>SUM(M129:M152)</f>
        <v>4539</v>
      </c>
    </row>
    <row r="154" spans="1:13" x14ac:dyDescent="0.25">
      <c r="A154" s="1" t="s">
        <v>127</v>
      </c>
      <c r="B154" s="2"/>
      <c r="C154" s="2"/>
      <c r="D154" s="3"/>
      <c r="E154" s="2"/>
      <c r="F154" s="2"/>
      <c r="G154" s="2"/>
      <c r="H154" s="3"/>
      <c r="I154" s="2"/>
      <c r="J154" s="3"/>
      <c r="K154" s="4"/>
      <c r="L154" s="5" t="str">
        <f t="shared" si="2"/>
        <v>Current</v>
      </c>
      <c r="M154" s="6"/>
    </row>
    <row r="155" spans="1:13" x14ac:dyDescent="0.25">
      <c r="A155" s="7"/>
      <c r="B155" s="2" t="s">
        <v>0</v>
      </c>
      <c r="C155" s="2" t="s">
        <v>129</v>
      </c>
      <c r="D155" s="3">
        <v>45985</v>
      </c>
      <c r="E155" s="2" t="s">
        <v>104</v>
      </c>
      <c r="F155" s="2" t="s">
        <v>105</v>
      </c>
      <c r="G155" s="2" t="s">
        <v>106</v>
      </c>
      <c r="H155" s="3">
        <v>45962</v>
      </c>
      <c r="I155" s="2"/>
      <c r="J155" s="3">
        <v>46000</v>
      </c>
      <c r="K155" s="8">
        <v>13</v>
      </c>
      <c r="L155" s="5" t="str">
        <f t="shared" si="2"/>
        <v>Current</v>
      </c>
      <c r="M155" s="6">
        <v>350</v>
      </c>
    </row>
    <row r="156" spans="1:13" x14ac:dyDescent="0.25">
      <c r="A156" s="7"/>
      <c r="B156" s="2" t="s">
        <v>0</v>
      </c>
      <c r="C156" s="2" t="s">
        <v>129</v>
      </c>
      <c r="D156" s="3">
        <v>46006</v>
      </c>
      <c r="E156" s="2" t="s">
        <v>1</v>
      </c>
      <c r="F156" s="2" t="s">
        <v>107</v>
      </c>
      <c r="G156" s="2" t="s">
        <v>106</v>
      </c>
      <c r="H156" s="3">
        <v>45962</v>
      </c>
      <c r="I156" s="2"/>
      <c r="J156" s="3">
        <v>46021</v>
      </c>
      <c r="K156" s="8">
        <v>-8</v>
      </c>
      <c r="L156" s="5" t="str">
        <f t="shared" si="2"/>
        <v>Current</v>
      </c>
      <c r="M156" s="6">
        <v>10</v>
      </c>
    </row>
    <row r="157" spans="1:13" x14ac:dyDescent="0.25">
      <c r="A157" s="7"/>
      <c r="B157" s="2" t="s">
        <v>0</v>
      </c>
      <c r="C157" s="2" t="s">
        <v>129</v>
      </c>
      <c r="D157" s="3">
        <v>46006</v>
      </c>
      <c r="E157" s="2" t="s">
        <v>9</v>
      </c>
      <c r="F157" s="2" t="s">
        <v>107</v>
      </c>
      <c r="G157" s="2" t="s">
        <v>106</v>
      </c>
      <c r="H157" s="3">
        <v>45962</v>
      </c>
      <c r="I157" s="2"/>
      <c r="J157" s="3">
        <v>46021</v>
      </c>
      <c r="K157" s="8">
        <v>-8</v>
      </c>
      <c r="L157" s="5" t="str">
        <f t="shared" si="2"/>
        <v>Current</v>
      </c>
      <c r="M157" s="6">
        <v>88</v>
      </c>
    </row>
    <row r="158" spans="1:13" x14ac:dyDescent="0.25">
      <c r="A158" s="7"/>
      <c r="B158" s="2" t="s">
        <v>0</v>
      </c>
      <c r="C158" s="2" t="s">
        <v>129</v>
      </c>
      <c r="D158" s="3">
        <v>46006</v>
      </c>
      <c r="E158" s="2" t="s">
        <v>8</v>
      </c>
      <c r="F158" s="2" t="s">
        <v>107</v>
      </c>
      <c r="G158" s="2" t="s">
        <v>106</v>
      </c>
      <c r="H158" s="3">
        <v>45962</v>
      </c>
      <c r="I158" s="2"/>
      <c r="J158" s="3">
        <v>46021</v>
      </c>
      <c r="K158" s="8">
        <v>-8</v>
      </c>
      <c r="L158" s="5" t="str">
        <f t="shared" si="2"/>
        <v>Current</v>
      </c>
      <c r="M158" s="6">
        <v>80</v>
      </c>
    </row>
    <row r="159" spans="1:13" x14ac:dyDescent="0.25">
      <c r="A159" s="7"/>
      <c r="B159" s="2" t="s">
        <v>0</v>
      </c>
      <c r="C159" s="2" t="s">
        <v>129</v>
      </c>
      <c r="D159" s="3">
        <v>46006</v>
      </c>
      <c r="E159" s="2" t="s">
        <v>3</v>
      </c>
      <c r="F159" s="2" t="s">
        <v>107</v>
      </c>
      <c r="G159" s="2" t="s">
        <v>106</v>
      </c>
      <c r="H159" s="3">
        <v>45962</v>
      </c>
      <c r="I159" s="2"/>
      <c r="J159" s="3">
        <v>46021</v>
      </c>
      <c r="K159" s="8">
        <v>-8</v>
      </c>
      <c r="L159" s="5" t="str">
        <f t="shared" si="2"/>
        <v>Current</v>
      </c>
      <c r="M159" s="6">
        <v>56</v>
      </c>
    </row>
    <row r="160" spans="1:13" x14ac:dyDescent="0.25">
      <c r="A160" s="7"/>
      <c r="B160" s="2" t="s">
        <v>0</v>
      </c>
      <c r="C160" s="2" t="s">
        <v>129</v>
      </c>
      <c r="D160" s="3">
        <v>46006</v>
      </c>
      <c r="E160" s="2" t="s">
        <v>7</v>
      </c>
      <c r="F160" s="2" t="s">
        <v>107</v>
      </c>
      <c r="G160" s="2" t="s">
        <v>106</v>
      </c>
      <c r="H160" s="3">
        <v>45962</v>
      </c>
      <c r="I160" s="2"/>
      <c r="J160" s="3">
        <v>46021</v>
      </c>
      <c r="K160" s="8">
        <v>-8</v>
      </c>
      <c r="L160" s="5" t="str">
        <f t="shared" si="2"/>
        <v>Current</v>
      </c>
      <c r="M160" s="6">
        <v>1500</v>
      </c>
    </row>
    <row r="161" spans="1:13" x14ac:dyDescent="0.25">
      <c r="A161" s="7"/>
      <c r="B161" s="2" t="s">
        <v>0</v>
      </c>
      <c r="C161" s="2" t="s">
        <v>129</v>
      </c>
      <c r="D161" s="3">
        <v>46006</v>
      </c>
      <c r="E161" s="2" t="s">
        <v>6</v>
      </c>
      <c r="F161" s="2" t="s">
        <v>107</v>
      </c>
      <c r="G161" s="2" t="s">
        <v>106</v>
      </c>
      <c r="H161" s="3">
        <v>45962</v>
      </c>
      <c r="I161" s="2"/>
      <c r="J161" s="3">
        <v>46021</v>
      </c>
      <c r="K161" s="8">
        <v>-8</v>
      </c>
      <c r="L161" s="5" t="str">
        <f t="shared" si="2"/>
        <v>Current</v>
      </c>
      <c r="M161" s="6">
        <v>68</v>
      </c>
    </row>
    <row r="162" spans="1:13" x14ac:dyDescent="0.25">
      <c r="A162" s="9" t="s">
        <v>128</v>
      </c>
      <c r="B162" s="9"/>
      <c r="C162" s="9"/>
      <c r="D162" s="10"/>
      <c r="E162" s="9"/>
      <c r="F162" s="9"/>
      <c r="G162" s="9"/>
      <c r="H162" s="10"/>
      <c r="I162" s="9"/>
      <c r="J162" s="10"/>
      <c r="K162" s="11"/>
      <c r="L162" s="5" t="str">
        <f t="shared" si="2"/>
        <v>Current</v>
      </c>
      <c r="M162" s="12">
        <f>SUM(M155:M161)</f>
        <v>2152</v>
      </c>
    </row>
    <row r="163" spans="1:13" x14ac:dyDescent="0.25">
      <c r="A163" s="1" t="s">
        <v>152</v>
      </c>
      <c r="B163" s="2"/>
      <c r="C163" s="2"/>
      <c r="D163" s="3"/>
      <c r="E163" s="2"/>
      <c r="F163" s="2"/>
      <c r="G163" s="2"/>
      <c r="H163" s="3"/>
      <c r="I163" s="2"/>
      <c r="J163" s="3"/>
      <c r="K163" s="4"/>
      <c r="L163" s="5" t="str">
        <f t="shared" si="2"/>
        <v>Current</v>
      </c>
      <c r="M163" s="6"/>
    </row>
    <row r="164" spans="1:13" x14ac:dyDescent="0.25">
      <c r="A164" s="7"/>
      <c r="B164" s="2" t="s">
        <v>0</v>
      </c>
      <c r="C164" s="2" t="s">
        <v>154</v>
      </c>
      <c r="D164" s="3">
        <v>45919</v>
      </c>
      <c r="E164" s="2" t="s">
        <v>146</v>
      </c>
      <c r="F164" s="2" t="s">
        <v>130</v>
      </c>
      <c r="G164" s="2"/>
      <c r="H164" s="3"/>
      <c r="I164" s="2"/>
      <c r="J164" s="3">
        <v>45934</v>
      </c>
      <c r="K164" s="8">
        <v>79</v>
      </c>
      <c r="L164" s="5" t="str">
        <f t="shared" si="2"/>
        <v>90 days</v>
      </c>
      <c r="M164" s="6">
        <v>150</v>
      </c>
    </row>
    <row r="165" spans="1:13" x14ac:dyDescent="0.25">
      <c r="A165" s="7"/>
      <c r="B165" s="2" t="s">
        <v>0</v>
      </c>
      <c r="C165" s="2" t="s">
        <v>154</v>
      </c>
      <c r="D165" s="3">
        <v>45919</v>
      </c>
      <c r="E165" s="2" t="s">
        <v>1</v>
      </c>
      <c r="F165" s="2" t="s">
        <v>130</v>
      </c>
      <c r="G165" s="2"/>
      <c r="H165" s="3"/>
      <c r="I165" s="2"/>
      <c r="J165" s="3">
        <v>45934</v>
      </c>
      <c r="K165" s="8">
        <v>79</v>
      </c>
      <c r="L165" s="5" t="str">
        <f t="shared" si="2"/>
        <v>90 days</v>
      </c>
      <c r="M165" s="6">
        <v>10</v>
      </c>
    </row>
    <row r="166" spans="1:13" x14ac:dyDescent="0.25">
      <c r="A166" s="7"/>
      <c r="B166" s="2" t="s">
        <v>0</v>
      </c>
      <c r="C166" s="2" t="s">
        <v>154</v>
      </c>
      <c r="D166" s="3">
        <v>45938</v>
      </c>
      <c r="E166" s="2" t="s">
        <v>131</v>
      </c>
      <c r="F166" s="2" t="s">
        <v>132</v>
      </c>
      <c r="G166" s="2" t="s">
        <v>133</v>
      </c>
      <c r="H166" s="3">
        <v>45200</v>
      </c>
      <c r="I166" s="2"/>
      <c r="J166" s="3">
        <v>45953</v>
      </c>
      <c r="K166" s="8">
        <v>60</v>
      </c>
      <c r="L166" s="5" t="str">
        <f t="shared" si="2"/>
        <v>60 days</v>
      </c>
      <c r="M166" s="6">
        <v>5</v>
      </c>
    </row>
    <row r="167" spans="1:13" x14ac:dyDescent="0.25">
      <c r="A167" s="7"/>
      <c r="B167" s="2" t="s">
        <v>0</v>
      </c>
      <c r="C167" s="2" t="s">
        <v>154</v>
      </c>
      <c r="D167" s="3">
        <v>45938</v>
      </c>
      <c r="E167" s="2" t="s">
        <v>1</v>
      </c>
      <c r="F167" s="2" t="s">
        <v>132</v>
      </c>
      <c r="G167" s="2" t="s">
        <v>133</v>
      </c>
      <c r="H167" s="3">
        <v>45200</v>
      </c>
      <c r="I167" s="2"/>
      <c r="J167" s="3">
        <v>45953</v>
      </c>
      <c r="K167" s="8">
        <v>60</v>
      </c>
      <c r="L167" s="5" t="str">
        <f t="shared" si="2"/>
        <v>60 days</v>
      </c>
      <c r="M167" s="6">
        <v>10</v>
      </c>
    </row>
    <row r="168" spans="1:13" x14ac:dyDescent="0.25">
      <c r="A168" s="7"/>
      <c r="B168" s="2" t="s">
        <v>0</v>
      </c>
      <c r="C168" s="2" t="s">
        <v>154</v>
      </c>
      <c r="D168" s="3">
        <v>45954</v>
      </c>
      <c r="E168" s="2" t="s">
        <v>1</v>
      </c>
      <c r="F168" s="2" t="s">
        <v>134</v>
      </c>
      <c r="G168" s="2" t="s">
        <v>133</v>
      </c>
      <c r="H168" s="3">
        <v>45200</v>
      </c>
      <c r="I168" s="2"/>
      <c r="J168" s="3">
        <v>45969</v>
      </c>
      <c r="K168" s="8">
        <v>44</v>
      </c>
      <c r="L168" s="5" t="str">
        <f t="shared" si="2"/>
        <v>30 days</v>
      </c>
      <c r="M168" s="6">
        <v>10</v>
      </c>
    </row>
    <row r="169" spans="1:13" x14ac:dyDescent="0.25">
      <c r="A169" s="7"/>
      <c r="B169" s="2" t="s">
        <v>0</v>
      </c>
      <c r="C169" s="2" t="s">
        <v>154</v>
      </c>
      <c r="D169" s="3">
        <v>45954</v>
      </c>
      <c r="E169" s="2" t="s">
        <v>135</v>
      </c>
      <c r="F169" s="2" t="s">
        <v>134</v>
      </c>
      <c r="G169" s="2" t="s">
        <v>133</v>
      </c>
      <c r="H169" s="3">
        <v>45200</v>
      </c>
      <c r="I169" s="2"/>
      <c r="J169" s="3">
        <v>45969</v>
      </c>
      <c r="K169" s="8">
        <v>44</v>
      </c>
      <c r="L169" s="5" t="str">
        <f t="shared" si="2"/>
        <v>30 days</v>
      </c>
      <c r="M169" s="6">
        <v>300</v>
      </c>
    </row>
    <row r="170" spans="1:13" x14ac:dyDescent="0.25">
      <c r="A170" s="7"/>
      <c r="B170" s="2" t="s">
        <v>0</v>
      </c>
      <c r="C170" s="2" t="s">
        <v>154</v>
      </c>
      <c r="D170" s="3">
        <v>45961</v>
      </c>
      <c r="E170" s="2" t="s">
        <v>1</v>
      </c>
      <c r="F170" s="2" t="s">
        <v>136</v>
      </c>
      <c r="G170" s="2" t="s">
        <v>137</v>
      </c>
      <c r="H170" s="3">
        <v>45931</v>
      </c>
      <c r="I170" s="2"/>
      <c r="J170" s="3">
        <v>45976</v>
      </c>
      <c r="K170" s="8">
        <v>37</v>
      </c>
      <c r="L170" s="5" t="str">
        <f t="shared" si="2"/>
        <v>30 days</v>
      </c>
      <c r="M170" s="6">
        <v>10</v>
      </c>
    </row>
    <row r="171" spans="1:13" x14ac:dyDescent="0.25">
      <c r="A171" s="7"/>
      <c r="B171" s="2" t="s">
        <v>0</v>
      </c>
      <c r="C171" s="2" t="s">
        <v>154</v>
      </c>
      <c r="D171" s="3">
        <v>45961</v>
      </c>
      <c r="E171" s="2" t="s">
        <v>138</v>
      </c>
      <c r="F171" s="2" t="s">
        <v>136</v>
      </c>
      <c r="G171" s="2" t="s">
        <v>137</v>
      </c>
      <c r="H171" s="3">
        <v>45931</v>
      </c>
      <c r="I171" s="2"/>
      <c r="J171" s="3">
        <v>45976</v>
      </c>
      <c r="K171" s="8">
        <v>37</v>
      </c>
      <c r="L171" s="5" t="str">
        <f t="shared" si="2"/>
        <v>30 days</v>
      </c>
      <c r="M171" s="6">
        <v>800</v>
      </c>
    </row>
    <row r="172" spans="1:13" x14ac:dyDescent="0.25">
      <c r="A172" s="7"/>
      <c r="B172" s="2" t="s">
        <v>0</v>
      </c>
      <c r="C172" s="2" t="s">
        <v>154</v>
      </c>
      <c r="D172" s="3">
        <v>45961</v>
      </c>
      <c r="E172" s="2" t="s">
        <v>139</v>
      </c>
      <c r="F172" s="2" t="s">
        <v>136</v>
      </c>
      <c r="G172" s="2" t="s">
        <v>137</v>
      </c>
      <c r="H172" s="3">
        <v>45931</v>
      </c>
      <c r="I172" s="2"/>
      <c r="J172" s="3">
        <v>45976</v>
      </c>
      <c r="K172" s="8">
        <v>37</v>
      </c>
      <c r="L172" s="5" t="str">
        <f t="shared" si="2"/>
        <v>30 days</v>
      </c>
      <c r="M172" s="6">
        <v>70</v>
      </c>
    </row>
    <row r="173" spans="1:13" x14ac:dyDescent="0.25">
      <c r="A173" s="7"/>
      <c r="B173" s="2" t="s">
        <v>0</v>
      </c>
      <c r="C173" s="2" t="s">
        <v>154</v>
      </c>
      <c r="D173" s="3">
        <v>45976</v>
      </c>
      <c r="E173" s="2" t="s">
        <v>3</v>
      </c>
      <c r="F173" s="2" t="s">
        <v>140</v>
      </c>
      <c r="G173" s="2" t="s">
        <v>137</v>
      </c>
      <c r="H173" s="3">
        <v>45931</v>
      </c>
      <c r="I173" s="2"/>
      <c r="J173" s="3">
        <v>45991</v>
      </c>
      <c r="K173" s="8">
        <v>22</v>
      </c>
      <c r="L173" s="5" t="str">
        <f t="shared" si="2"/>
        <v>30 days</v>
      </c>
      <c r="M173" s="6">
        <v>56</v>
      </c>
    </row>
    <row r="174" spans="1:13" x14ac:dyDescent="0.25">
      <c r="A174" s="7"/>
      <c r="B174" s="2" t="s">
        <v>0</v>
      </c>
      <c r="C174" s="2" t="s">
        <v>154</v>
      </c>
      <c r="D174" s="3">
        <v>45976</v>
      </c>
      <c r="E174" s="2" t="s">
        <v>6</v>
      </c>
      <c r="F174" s="2" t="s">
        <v>140</v>
      </c>
      <c r="G174" s="2" t="s">
        <v>137</v>
      </c>
      <c r="H174" s="3">
        <v>45931</v>
      </c>
      <c r="I174" s="2"/>
      <c r="J174" s="3">
        <v>45991</v>
      </c>
      <c r="K174" s="8">
        <v>22</v>
      </c>
      <c r="L174" s="5" t="str">
        <f t="shared" si="2"/>
        <v>30 days</v>
      </c>
      <c r="M174" s="6">
        <v>68</v>
      </c>
    </row>
    <row r="175" spans="1:13" x14ac:dyDescent="0.25">
      <c r="A175" s="7"/>
      <c r="B175" s="2" t="s">
        <v>0</v>
      </c>
      <c r="C175" s="2" t="s">
        <v>154</v>
      </c>
      <c r="D175" s="3">
        <v>45976</v>
      </c>
      <c r="E175" s="2" t="s">
        <v>9</v>
      </c>
      <c r="F175" s="2" t="s">
        <v>140</v>
      </c>
      <c r="G175" s="2" t="s">
        <v>137</v>
      </c>
      <c r="H175" s="3">
        <v>45931</v>
      </c>
      <c r="I175" s="2"/>
      <c r="J175" s="3">
        <v>45991</v>
      </c>
      <c r="K175" s="8">
        <v>22</v>
      </c>
      <c r="L175" s="5" t="str">
        <f t="shared" si="2"/>
        <v>30 days</v>
      </c>
      <c r="M175" s="6">
        <v>88</v>
      </c>
    </row>
    <row r="176" spans="1:13" x14ac:dyDescent="0.25">
      <c r="A176" s="7"/>
      <c r="B176" s="2" t="s">
        <v>0</v>
      </c>
      <c r="C176" s="2" t="s">
        <v>154</v>
      </c>
      <c r="D176" s="3">
        <v>45976</v>
      </c>
      <c r="E176" s="2" t="s">
        <v>1</v>
      </c>
      <c r="F176" s="2" t="s">
        <v>140</v>
      </c>
      <c r="G176" s="2" t="s">
        <v>137</v>
      </c>
      <c r="H176" s="3">
        <v>45931</v>
      </c>
      <c r="I176" s="2"/>
      <c r="J176" s="3">
        <v>45991</v>
      </c>
      <c r="K176" s="8">
        <v>22</v>
      </c>
      <c r="L176" s="5" t="str">
        <f t="shared" si="2"/>
        <v>30 days</v>
      </c>
      <c r="M176" s="6">
        <v>10</v>
      </c>
    </row>
    <row r="177" spans="1:13" x14ac:dyDescent="0.25">
      <c r="A177" s="7"/>
      <c r="B177" s="2" t="s">
        <v>0</v>
      </c>
      <c r="C177" s="2" t="s">
        <v>154</v>
      </c>
      <c r="D177" s="3">
        <v>45976</v>
      </c>
      <c r="E177" s="2" t="s">
        <v>7</v>
      </c>
      <c r="F177" s="2" t="s">
        <v>140</v>
      </c>
      <c r="G177" s="2" t="s">
        <v>137</v>
      </c>
      <c r="H177" s="3">
        <v>45931</v>
      </c>
      <c r="I177" s="2"/>
      <c r="J177" s="3">
        <v>45991</v>
      </c>
      <c r="K177" s="8">
        <v>22</v>
      </c>
      <c r="L177" s="5" t="str">
        <f t="shared" si="2"/>
        <v>30 days</v>
      </c>
      <c r="M177" s="6">
        <v>1500</v>
      </c>
    </row>
    <row r="178" spans="1:13" x14ac:dyDescent="0.25">
      <c r="A178" s="7"/>
      <c r="B178" s="2" t="s">
        <v>0</v>
      </c>
      <c r="C178" s="2" t="s">
        <v>154</v>
      </c>
      <c r="D178" s="3">
        <v>45976</v>
      </c>
      <c r="E178" s="2" t="s">
        <v>8</v>
      </c>
      <c r="F178" s="2" t="s">
        <v>140</v>
      </c>
      <c r="G178" s="2" t="s">
        <v>137</v>
      </c>
      <c r="H178" s="3">
        <v>45931</v>
      </c>
      <c r="I178" s="2"/>
      <c r="J178" s="3">
        <v>45991</v>
      </c>
      <c r="K178" s="8">
        <v>22</v>
      </c>
      <c r="L178" s="5" t="str">
        <f t="shared" si="2"/>
        <v>30 days</v>
      </c>
      <c r="M178" s="6">
        <v>80</v>
      </c>
    </row>
    <row r="179" spans="1:13" x14ac:dyDescent="0.25">
      <c r="A179" s="7"/>
      <c r="B179" s="2" t="s">
        <v>0</v>
      </c>
      <c r="C179" s="2" t="s">
        <v>154</v>
      </c>
      <c r="D179" s="3">
        <v>45985</v>
      </c>
      <c r="E179" s="2" t="s">
        <v>141</v>
      </c>
      <c r="F179" s="2" t="s">
        <v>142</v>
      </c>
      <c r="G179" s="2" t="s">
        <v>137</v>
      </c>
      <c r="H179" s="3">
        <v>45931</v>
      </c>
      <c r="I179" s="2"/>
      <c r="J179" s="3">
        <v>46000</v>
      </c>
      <c r="K179" s="8">
        <v>13</v>
      </c>
      <c r="L179" s="5" t="str">
        <f t="shared" si="2"/>
        <v>Current</v>
      </c>
      <c r="M179" s="6">
        <v>69</v>
      </c>
    </row>
    <row r="180" spans="1:13" x14ac:dyDescent="0.25">
      <c r="A180" s="7"/>
      <c r="B180" s="2" t="s">
        <v>143</v>
      </c>
      <c r="C180" s="2" t="s">
        <v>154</v>
      </c>
      <c r="D180" s="3">
        <v>46000</v>
      </c>
      <c r="E180" s="2" t="s">
        <v>144</v>
      </c>
      <c r="F180" s="2" t="s">
        <v>145</v>
      </c>
      <c r="G180" s="2"/>
      <c r="H180" s="3"/>
      <c r="I180" s="2"/>
      <c r="J180" s="3">
        <v>46000</v>
      </c>
      <c r="K180" s="8">
        <v>13</v>
      </c>
      <c r="L180" s="5" t="str">
        <f t="shared" si="2"/>
        <v>Current</v>
      </c>
      <c r="M180" s="6">
        <v>-800</v>
      </c>
    </row>
    <row r="181" spans="1:13" x14ac:dyDescent="0.25">
      <c r="A181" s="9" t="s">
        <v>153</v>
      </c>
      <c r="B181" s="9"/>
      <c r="C181" s="9"/>
      <c r="D181" s="10"/>
      <c r="E181" s="9"/>
      <c r="F181" s="9"/>
      <c r="G181" s="9"/>
      <c r="H181" s="10"/>
      <c r="I181" s="9"/>
      <c r="J181" s="10"/>
      <c r="K181" s="11"/>
      <c r="L181" s="5" t="str">
        <f t="shared" ref="L181:L192" si="3">IF(K181&lt;=15,"Current",IF(AND(K181&gt;15,K181&lt;=45),"30 days",IF(AND(K181&gt;45,K181&lt;=75),"60 days",IF(AND(K181&gt;75,K181&lt;=105),"90 days","More than 90 days"))))</f>
        <v>Current</v>
      </c>
      <c r="M181" s="12">
        <f>SUM(M163:M180)</f>
        <v>2436</v>
      </c>
    </row>
    <row r="182" spans="1:13" x14ac:dyDescent="0.25">
      <c r="A182" s="1" t="s">
        <v>155</v>
      </c>
      <c r="B182" s="2"/>
      <c r="C182" s="2"/>
      <c r="D182" s="3"/>
      <c r="E182" s="2"/>
      <c r="F182" s="2"/>
      <c r="G182" s="2"/>
      <c r="H182" s="3"/>
      <c r="I182" s="2"/>
      <c r="J182" s="3"/>
      <c r="K182" s="4"/>
      <c r="L182" s="5" t="str">
        <f t="shared" si="3"/>
        <v>Current</v>
      </c>
      <c r="M182" s="6"/>
    </row>
    <row r="183" spans="1:13" x14ac:dyDescent="0.25">
      <c r="A183" s="7"/>
      <c r="B183" s="2" t="s">
        <v>0</v>
      </c>
      <c r="C183" s="2" t="s">
        <v>157</v>
      </c>
      <c r="D183" s="3">
        <v>46003</v>
      </c>
      <c r="E183" s="2" t="s">
        <v>149</v>
      </c>
      <c r="F183" s="2" t="s">
        <v>147</v>
      </c>
      <c r="G183" s="2" t="s">
        <v>148</v>
      </c>
      <c r="H183" s="3">
        <v>45992</v>
      </c>
      <c r="I183" s="2"/>
      <c r="J183" s="3">
        <v>46018</v>
      </c>
      <c r="K183" s="8">
        <v>-5</v>
      </c>
      <c r="L183" s="5" t="str">
        <f t="shared" si="3"/>
        <v>Current</v>
      </c>
      <c r="M183" s="6">
        <v>35</v>
      </c>
    </row>
    <row r="184" spans="1:13" x14ac:dyDescent="0.25">
      <c r="A184" s="7"/>
      <c r="B184" s="2" t="s">
        <v>0</v>
      </c>
      <c r="C184" s="2" t="s">
        <v>157</v>
      </c>
      <c r="D184" s="3">
        <v>46003</v>
      </c>
      <c r="E184" s="2" t="s">
        <v>139</v>
      </c>
      <c r="F184" s="2" t="s">
        <v>147</v>
      </c>
      <c r="G184" s="2" t="s">
        <v>148</v>
      </c>
      <c r="H184" s="3">
        <v>45992</v>
      </c>
      <c r="I184" s="2"/>
      <c r="J184" s="3">
        <v>46018</v>
      </c>
      <c r="K184" s="8">
        <v>-5</v>
      </c>
      <c r="L184" s="5" t="str">
        <f t="shared" si="3"/>
        <v>Current</v>
      </c>
      <c r="M184" s="6">
        <v>70</v>
      </c>
    </row>
    <row r="185" spans="1:13" x14ac:dyDescent="0.25">
      <c r="A185" s="7"/>
      <c r="B185" s="2" t="s">
        <v>0</v>
      </c>
      <c r="C185" s="2" t="s">
        <v>157</v>
      </c>
      <c r="D185" s="3">
        <v>46003</v>
      </c>
      <c r="E185" s="2" t="s">
        <v>150</v>
      </c>
      <c r="F185" s="2" t="s">
        <v>147</v>
      </c>
      <c r="G185" s="2" t="s">
        <v>148</v>
      </c>
      <c r="H185" s="3">
        <v>45992</v>
      </c>
      <c r="I185" s="2"/>
      <c r="J185" s="3">
        <v>46018</v>
      </c>
      <c r="K185" s="8">
        <v>-5</v>
      </c>
      <c r="L185" s="5" t="str">
        <f t="shared" si="3"/>
        <v>Current</v>
      </c>
      <c r="M185" s="6">
        <v>800</v>
      </c>
    </row>
    <row r="186" spans="1:13" x14ac:dyDescent="0.25">
      <c r="A186" s="7"/>
      <c r="B186" s="2" t="s">
        <v>0</v>
      </c>
      <c r="C186" s="2" t="s">
        <v>157</v>
      </c>
      <c r="D186" s="3">
        <v>46006</v>
      </c>
      <c r="E186" s="2" t="s">
        <v>8</v>
      </c>
      <c r="F186" s="2" t="s">
        <v>151</v>
      </c>
      <c r="G186" s="2" t="s">
        <v>148</v>
      </c>
      <c r="H186" s="3">
        <v>45992</v>
      </c>
      <c r="I186" s="2"/>
      <c r="J186" s="3">
        <v>46006</v>
      </c>
      <c r="K186" s="8">
        <v>7</v>
      </c>
      <c r="L186" s="5" t="str">
        <f t="shared" si="3"/>
        <v>Current</v>
      </c>
      <c r="M186" s="6">
        <v>80</v>
      </c>
    </row>
    <row r="187" spans="1:13" x14ac:dyDescent="0.25">
      <c r="A187" s="7"/>
      <c r="B187" s="2" t="s">
        <v>0</v>
      </c>
      <c r="C187" s="2" t="s">
        <v>157</v>
      </c>
      <c r="D187" s="3">
        <v>46006</v>
      </c>
      <c r="E187" s="2" t="s">
        <v>7</v>
      </c>
      <c r="F187" s="2" t="s">
        <v>151</v>
      </c>
      <c r="G187" s="2" t="s">
        <v>148</v>
      </c>
      <c r="H187" s="3">
        <v>45992</v>
      </c>
      <c r="I187" s="2"/>
      <c r="J187" s="3">
        <v>46006</v>
      </c>
      <c r="K187" s="8">
        <v>7</v>
      </c>
      <c r="L187" s="5" t="str">
        <f t="shared" si="3"/>
        <v>Current</v>
      </c>
      <c r="M187" s="6">
        <v>1500</v>
      </c>
    </row>
    <row r="188" spans="1:13" x14ac:dyDescent="0.25">
      <c r="A188" s="7"/>
      <c r="B188" s="2" t="s">
        <v>0</v>
      </c>
      <c r="C188" s="2" t="s">
        <v>157</v>
      </c>
      <c r="D188" s="3">
        <v>46006</v>
      </c>
      <c r="E188" s="2" t="s">
        <v>6</v>
      </c>
      <c r="F188" s="2" t="s">
        <v>151</v>
      </c>
      <c r="G188" s="2" t="s">
        <v>148</v>
      </c>
      <c r="H188" s="3">
        <v>45992</v>
      </c>
      <c r="I188" s="2"/>
      <c r="J188" s="3">
        <v>46006</v>
      </c>
      <c r="K188" s="8">
        <v>7</v>
      </c>
      <c r="L188" s="5" t="str">
        <f t="shared" si="3"/>
        <v>Current</v>
      </c>
      <c r="M188" s="6">
        <v>68</v>
      </c>
    </row>
    <row r="189" spans="1:13" x14ac:dyDescent="0.25">
      <c r="A189" s="7"/>
      <c r="B189" s="2" t="s">
        <v>0</v>
      </c>
      <c r="C189" s="2" t="s">
        <v>157</v>
      </c>
      <c r="D189" s="3">
        <v>46006</v>
      </c>
      <c r="E189" s="2" t="s">
        <v>9</v>
      </c>
      <c r="F189" s="2" t="s">
        <v>151</v>
      </c>
      <c r="G189" s="2" t="s">
        <v>148</v>
      </c>
      <c r="H189" s="3">
        <v>45992</v>
      </c>
      <c r="I189" s="2"/>
      <c r="J189" s="3">
        <v>46006</v>
      </c>
      <c r="K189" s="8">
        <v>7</v>
      </c>
      <c r="L189" s="5" t="str">
        <f t="shared" si="3"/>
        <v>Current</v>
      </c>
      <c r="M189" s="6">
        <v>88</v>
      </c>
    </row>
    <row r="190" spans="1:13" x14ac:dyDescent="0.25">
      <c r="A190" s="7"/>
      <c r="B190" s="2" t="s">
        <v>0</v>
      </c>
      <c r="C190" s="2" t="s">
        <v>157</v>
      </c>
      <c r="D190" s="3">
        <v>46006</v>
      </c>
      <c r="E190" s="2" t="s">
        <v>1</v>
      </c>
      <c r="F190" s="2" t="s">
        <v>151</v>
      </c>
      <c r="G190" s="2" t="s">
        <v>148</v>
      </c>
      <c r="H190" s="3">
        <v>45992</v>
      </c>
      <c r="I190" s="2"/>
      <c r="J190" s="3">
        <v>46006</v>
      </c>
      <c r="K190" s="8">
        <v>7</v>
      </c>
      <c r="L190" s="5" t="str">
        <f t="shared" si="3"/>
        <v>Current</v>
      </c>
      <c r="M190" s="6">
        <v>10</v>
      </c>
    </row>
    <row r="191" spans="1:13" x14ac:dyDescent="0.25">
      <c r="A191" s="7"/>
      <c r="B191" s="2" t="s">
        <v>0</v>
      </c>
      <c r="C191" s="2" t="s">
        <v>157</v>
      </c>
      <c r="D191" s="3">
        <v>46006</v>
      </c>
      <c r="E191" s="2" t="s">
        <v>3</v>
      </c>
      <c r="F191" s="2" t="s">
        <v>151</v>
      </c>
      <c r="G191" s="2" t="s">
        <v>148</v>
      </c>
      <c r="H191" s="3">
        <v>45992</v>
      </c>
      <c r="I191" s="2"/>
      <c r="J191" s="3">
        <v>46006</v>
      </c>
      <c r="K191" s="8">
        <v>7</v>
      </c>
      <c r="L191" s="5" t="str">
        <f t="shared" si="3"/>
        <v>Current</v>
      </c>
      <c r="M191" s="6">
        <v>56</v>
      </c>
    </row>
    <row r="192" spans="1:13" x14ac:dyDescent="0.25">
      <c r="A192" s="9" t="s">
        <v>156</v>
      </c>
      <c r="B192" s="9"/>
      <c r="C192" s="9"/>
      <c r="D192" s="10"/>
      <c r="E192" s="9"/>
      <c r="F192" s="9"/>
      <c r="G192" s="9"/>
      <c r="H192" s="10"/>
      <c r="I192" s="9"/>
      <c r="J192" s="10"/>
      <c r="K192" s="11"/>
      <c r="L192" s="5" t="str">
        <f t="shared" si="3"/>
        <v>Current</v>
      </c>
      <c r="M192" s="12">
        <f>SUM(M183:M191)</f>
        <v>2707</v>
      </c>
    </row>
  </sheetData>
  <autoFilter ref="A6:M192" xr:uid="{1C45E22A-4FA7-4F55-B9BA-278EEDB7623B}"/>
  <mergeCells count="4">
    <mergeCell ref="A1:M1"/>
    <mergeCell ref="A2:M2"/>
    <mergeCell ref="A3:M3"/>
    <mergeCell ref="A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D198-CEAD-44F3-8026-F18A29AB1CF6}">
  <dimension ref="A2:M4"/>
  <sheetViews>
    <sheetView workbookViewId="0">
      <selection activeCell="E19" sqref="E19"/>
    </sheetView>
  </sheetViews>
  <sheetFormatPr defaultRowHeight="15" x14ac:dyDescent="0.25"/>
  <cols>
    <col min="1" max="3" width="9.140625" style="37"/>
    <col min="4" max="4" width="12.7109375" style="37" bestFit="1" customWidth="1"/>
    <col min="5" max="7" width="9.140625" style="37"/>
    <col min="8" max="8" width="11.42578125" style="37" bestFit="1" customWidth="1"/>
    <col min="9" max="9" width="9.140625" style="37"/>
    <col min="10" max="10" width="11.42578125" style="37" bestFit="1" customWidth="1"/>
    <col min="11" max="11" width="9.28515625" style="37" bestFit="1" customWidth="1"/>
    <col min="12" max="12" width="9.140625" style="37"/>
    <col min="13" max="13" width="11.140625" style="37" bestFit="1" customWidth="1"/>
    <col min="14" max="16384" width="9.140625" style="37"/>
  </cols>
  <sheetData>
    <row r="2" spans="1:13" x14ac:dyDescent="0.25">
      <c r="A2" s="34" t="s">
        <v>74</v>
      </c>
      <c r="B2" s="34" t="s">
        <v>75</v>
      </c>
      <c r="C2" s="34" t="s">
        <v>76</v>
      </c>
      <c r="D2" s="34" t="s">
        <v>77</v>
      </c>
      <c r="E2" s="34" t="s">
        <v>78</v>
      </c>
      <c r="F2" s="34" t="s">
        <v>79</v>
      </c>
      <c r="G2" s="34" t="s">
        <v>80</v>
      </c>
      <c r="H2" s="34" t="s">
        <v>81</v>
      </c>
      <c r="I2" s="34" t="s">
        <v>82</v>
      </c>
      <c r="J2" s="34" t="s">
        <v>83</v>
      </c>
      <c r="K2" s="35" t="s">
        <v>84</v>
      </c>
      <c r="L2" s="36" t="s">
        <v>85</v>
      </c>
      <c r="M2" s="35" t="s">
        <v>86</v>
      </c>
    </row>
    <row r="3" spans="1:13" x14ac:dyDescent="0.25">
      <c r="A3" s="38"/>
      <c r="B3" s="39" t="s">
        <v>0</v>
      </c>
      <c r="C3" s="39" t="s">
        <v>129</v>
      </c>
      <c r="D3" s="40">
        <v>45985</v>
      </c>
      <c r="E3" s="39" t="s">
        <v>104</v>
      </c>
      <c r="F3" s="39" t="s">
        <v>105</v>
      </c>
      <c r="G3" s="39" t="s">
        <v>106</v>
      </c>
      <c r="H3" s="40">
        <v>45962</v>
      </c>
      <c r="I3" s="39"/>
      <c r="J3" s="40">
        <v>46000</v>
      </c>
      <c r="K3" s="41">
        <v>13</v>
      </c>
      <c r="L3" s="42" t="s">
        <v>158</v>
      </c>
      <c r="M3" s="43">
        <v>350</v>
      </c>
    </row>
    <row r="4" spans="1:13" x14ac:dyDescent="0.25">
      <c r="A4" s="38"/>
      <c r="B4" s="39" t="s">
        <v>0</v>
      </c>
      <c r="C4" s="39" t="s">
        <v>154</v>
      </c>
      <c r="D4" s="40">
        <v>45985</v>
      </c>
      <c r="E4" s="39" t="s">
        <v>141</v>
      </c>
      <c r="F4" s="39" t="s">
        <v>142</v>
      </c>
      <c r="G4" s="39" t="s">
        <v>137</v>
      </c>
      <c r="H4" s="40">
        <v>45931</v>
      </c>
      <c r="I4" s="39"/>
      <c r="J4" s="40">
        <v>46000</v>
      </c>
      <c r="K4" s="41">
        <v>13</v>
      </c>
      <c r="L4" s="42" t="s">
        <v>158</v>
      </c>
      <c r="M4" s="43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7E89-8FE7-4C54-88F8-5D8BD951ED3E}">
  <dimension ref="A2:M6"/>
  <sheetViews>
    <sheetView workbookViewId="0">
      <selection activeCell="G22" sqref="G22"/>
    </sheetView>
  </sheetViews>
  <sheetFormatPr defaultRowHeight="15" x14ac:dyDescent="0.25"/>
  <cols>
    <col min="1" max="3" width="9.140625" style="37"/>
    <col min="4" max="4" width="11.42578125" style="37" bestFit="1" customWidth="1"/>
    <col min="5" max="5" width="43.85546875" style="37" customWidth="1"/>
    <col min="6" max="6" width="20.140625" style="37" bestFit="1" customWidth="1"/>
    <col min="7" max="9" width="9.140625" style="37"/>
    <col min="10" max="10" width="11.42578125" style="37" bestFit="1" customWidth="1"/>
    <col min="11" max="11" width="9.28515625" style="37" bestFit="1" customWidth="1"/>
    <col min="12" max="12" width="9.140625" style="37"/>
    <col min="13" max="13" width="11.140625" style="37" bestFit="1" customWidth="1"/>
    <col min="14" max="16384" width="9.140625" style="37"/>
  </cols>
  <sheetData>
    <row r="2" spans="1:13" x14ac:dyDescent="0.25">
      <c r="A2" s="34" t="s">
        <v>74</v>
      </c>
      <c r="B2" s="34" t="s">
        <v>75</v>
      </c>
      <c r="C2" s="34" t="s">
        <v>76</v>
      </c>
      <c r="D2" s="34" t="s">
        <v>77</v>
      </c>
      <c r="E2" s="34" t="s">
        <v>78</v>
      </c>
      <c r="F2" s="34" t="s">
        <v>79</v>
      </c>
      <c r="G2" s="34" t="s">
        <v>80</v>
      </c>
      <c r="H2" s="34" t="s">
        <v>81</v>
      </c>
      <c r="I2" s="34" t="s">
        <v>82</v>
      </c>
      <c r="J2" s="34" t="s">
        <v>83</v>
      </c>
      <c r="K2" s="35" t="s">
        <v>84</v>
      </c>
      <c r="L2" s="36" t="s">
        <v>85</v>
      </c>
      <c r="M2" s="35" t="s">
        <v>86</v>
      </c>
    </row>
    <row r="3" spans="1:13" x14ac:dyDescent="0.25">
      <c r="A3" s="38"/>
      <c r="B3" s="39" t="s">
        <v>0</v>
      </c>
      <c r="C3" s="39" t="s">
        <v>113</v>
      </c>
      <c r="D3" s="40">
        <v>45740</v>
      </c>
      <c r="E3" s="39" t="s">
        <v>118</v>
      </c>
      <c r="F3" s="39" t="s">
        <v>2</v>
      </c>
      <c r="G3" s="39"/>
      <c r="H3" s="40"/>
      <c r="I3" s="39"/>
      <c r="J3" s="40">
        <v>45755</v>
      </c>
      <c r="K3" s="41">
        <v>258</v>
      </c>
      <c r="L3" s="42" t="s">
        <v>159</v>
      </c>
      <c r="M3" s="43">
        <v>250</v>
      </c>
    </row>
    <row r="4" spans="1:13" x14ac:dyDescent="0.25">
      <c r="A4" s="38"/>
      <c r="B4" s="39" t="s">
        <v>0</v>
      </c>
      <c r="C4" s="39" t="s">
        <v>116</v>
      </c>
      <c r="D4" s="40">
        <v>45826</v>
      </c>
      <c r="E4" s="39" t="s">
        <v>119</v>
      </c>
      <c r="F4" s="39" t="s">
        <v>18</v>
      </c>
      <c r="G4" s="39"/>
      <c r="H4" s="40"/>
      <c r="I4" s="39"/>
      <c r="J4" s="40">
        <v>45841</v>
      </c>
      <c r="K4" s="41">
        <v>172</v>
      </c>
      <c r="L4" s="42" t="s">
        <v>159</v>
      </c>
      <c r="M4" s="43">
        <v>150</v>
      </c>
    </row>
    <row r="5" spans="1:13" x14ac:dyDescent="0.25">
      <c r="A5" s="38"/>
      <c r="B5" s="39" t="s">
        <v>0</v>
      </c>
      <c r="C5" s="39" t="s">
        <v>116</v>
      </c>
      <c r="D5" s="40">
        <v>45831</v>
      </c>
      <c r="E5" s="39" t="s">
        <v>120</v>
      </c>
      <c r="F5" s="39" t="s">
        <v>21</v>
      </c>
      <c r="G5" s="39"/>
      <c r="H5" s="40"/>
      <c r="I5" s="39"/>
      <c r="J5" s="40">
        <v>45846</v>
      </c>
      <c r="K5" s="41">
        <v>167</v>
      </c>
      <c r="L5" s="42" t="s">
        <v>159</v>
      </c>
      <c r="M5" s="43">
        <v>150</v>
      </c>
    </row>
    <row r="6" spans="1:13" x14ac:dyDescent="0.25">
      <c r="A6" s="38"/>
      <c r="B6" s="39" t="s">
        <v>0</v>
      </c>
      <c r="C6" s="39" t="s">
        <v>154</v>
      </c>
      <c r="D6" s="40">
        <v>45919</v>
      </c>
      <c r="E6" s="39" t="s">
        <v>146</v>
      </c>
      <c r="F6" s="39" t="s">
        <v>130</v>
      </c>
      <c r="G6" s="39"/>
      <c r="H6" s="40"/>
      <c r="I6" s="39"/>
      <c r="J6" s="40">
        <v>45934</v>
      </c>
      <c r="K6" s="41">
        <v>79</v>
      </c>
      <c r="L6" s="42" t="s">
        <v>160</v>
      </c>
      <c r="M6" s="43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343F5-4A5B-48E8-BD9C-6A776A034FD4}">
  <dimension ref="A2:M6"/>
  <sheetViews>
    <sheetView workbookViewId="0">
      <selection activeCell="E7" sqref="E7:E8"/>
    </sheetView>
  </sheetViews>
  <sheetFormatPr defaultRowHeight="15" x14ac:dyDescent="0.25"/>
  <cols>
    <col min="1" max="2" width="9.140625" style="37"/>
    <col min="3" max="3" width="18.140625" style="37" bestFit="1" customWidth="1"/>
    <col min="4" max="4" width="11.42578125" style="37" bestFit="1" customWidth="1"/>
    <col min="5" max="5" width="39.28515625" style="37" bestFit="1" customWidth="1"/>
    <col min="6" max="6" width="20.140625" style="37" bestFit="1" customWidth="1"/>
    <col min="7" max="9" width="9.140625" style="37"/>
    <col min="10" max="10" width="10.140625" style="37" bestFit="1" customWidth="1"/>
    <col min="11" max="11" width="9.28515625" style="37" bestFit="1" customWidth="1"/>
    <col min="12" max="12" width="9.140625" style="37"/>
    <col min="13" max="13" width="9.85546875" style="37" bestFit="1" customWidth="1"/>
    <col min="14" max="16384" width="9.140625" style="37"/>
  </cols>
  <sheetData>
    <row r="2" spans="1:13" x14ac:dyDescent="0.25">
      <c r="A2" s="34" t="s">
        <v>74</v>
      </c>
      <c r="B2" s="34" t="s">
        <v>75</v>
      </c>
      <c r="C2" s="34" t="s">
        <v>76</v>
      </c>
      <c r="D2" s="34" t="s">
        <v>77</v>
      </c>
      <c r="E2" s="34" t="s">
        <v>78</v>
      </c>
      <c r="F2" s="34" t="s">
        <v>79</v>
      </c>
      <c r="G2" s="34" t="s">
        <v>80</v>
      </c>
      <c r="H2" s="34" t="s">
        <v>81</v>
      </c>
      <c r="I2" s="34" t="s">
        <v>82</v>
      </c>
      <c r="J2" s="34" t="s">
        <v>83</v>
      </c>
      <c r="K2" s="35" t="s">
        <v>84</v>
      </c>
      <c r="L2" s="36" t="s">
        <v>85</v>
      </c>
      <c r="M2" s="35" t="s">
        <v>86</v>
      </c>
    </row>
    <row r="3" spans="1:13" x14ac:dyDescent="0.25">
      <c r="A3" s="38"/>
      <c r="B3" s="39" t="s">
        <v>0</v>
      </c>
      <c r="C3" s="39" t="s">
        <v>116</v>
      </c>
      <c r="D3" s="40">
        <v>45740</v>
      </c>
      <c r="E3" s="39" t="s">
        <v>13</v>
      </c>
      <c r="F3" s="39" t="s">
        <v>12</v>
      </c>
      <c r="G3" s="39"/>
      <c r="H3" s="40"/>
      <c r="I3" s="39"/>
      <c r="J3" s="40">
        <v>45755</v>
      </c>
      <c r="K3" s="41">
        <v>258</v>
      </c>
      <c r="L3" s="42" t="s">
        <v>159</v>
      </c>
      <c r="M3" s="43">
        <v>20</v>
      </c>
    </row>
    <row r="4" spans="1:13" x14ac:dyDescent="0.25">
      <c r="A4" s="38"/>
      <c r="B4" s="39" t="s">
        <v>0</v>
      </c>
      <c r="C4" s="39" t="s">
        <v>116</v>
      </c>
      <c r="D4" s="40">
        <v>45770</v>
      </c>
      <c r="E4" s="39" t="s">
        <v>15</v>
      </c>
      <c r="F4" s="39" t="s">
        <v>14</v>
      </c>
      <c r="G4" s="39"/>
      <c r="H4" s="40"/>
      <c r="I4" s="39"/>
      <c r="J4" s="40">
        <v>45785</v>
      </c>
      <c r="K4" s="41">
        <v>228</v>
      </c>
      <c r="L4" s="42" t="s">
        <v>159</v>
      </c>
      <c r="M4" s="43">
        <v>20</v>
      </c>
    </row>
    <row r="5" spans="1:13" x14ac:dyDescent="0.25">
      <c r="A5" s="38"/>
      <c r="B5" s="39" t="s">
        <v>0</v>
      </c>
      <c r="C5" s="39" t="s">
        <v>116</v>
      </c>
      <c r="D5" s="40">
        <v>45799</v>
      </c>
      <c r="E5" s="39" t="s">
        <v>16</v>
      </c>
      <c r="F5" s="39" t="s">
        <v>17</v>
      </c>
      <c r="G5" s="39"/>
      <c r="H5" s="40"/>
      <c r="I5" s="39"/>
      <c r="J5" s="40">
        <v>45814</v>
      </c>
      <c r="K5" s="41">
        <v>199</v>
      </c>
      <c r="L5" s="42" t="s">
        <v>159</v>
      </c>
      <c r="M5" s="43">
        <v>20</v>
      </c>
    </row>
    <row r="6" spans="1:13" x14ac:dyDescent="0.25">
      <c r="A6" s="38"/>
      <c r="B6" s="39" t="s">
        <v>0</v>
      </c>
      <c r="C6" s="39" t="s">
        <v>116</v>
      </c>
      <c r="D6" s="40">
        <v>45828</v>
      </c>
      <c r="E6" s="39" t="s">
        <v>20</v>
      </c>
      <c r="F6" s="39" t="s">
        <v>19</v>
      </c>
      <c r="G6" s="39"/>
      <c r="H6" s="40"/>
      <c r="I6" s="39"/>
      <c r="J6" s="40">
        <v>45843</v>
      </c>
      <c r="K6" s="41">
        <v>170</v>
      </c>
      <c r="L6" s="42" t="s">
        <v>159</v>
      </c>
      <c r="M6" s="43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2F27-058D-4509-8492-DF085F72F5B9}">
  <dimension ref="A1:L10"/>
  <sheetViews>
    <sheetView workbookViewId="0">
      <pane ySplit="1" topLeftCell="A2" activePane="bottomLeft" state="frozen"/>
      <selection pane="bottomLeft" activeCell="G23" sqref="G23:G24"/>
    </sheetView>
  </sheetViews>
  <sheetFormatPr defaultRowHeight="15" x14ac:dyDescent="0.25"/>
  <cols>
    <col min="1" max="1" width="49.7109375" bestFit="1" customWidth="1"/>
    <col min="2" max="2" width="19.85546875" bestFit="1" customWidth="1"/>
    <col min="3" max="3" width="6.85546875" bestFit="1" customWidth="1"/>
    <col min="4" max="4" width="28.85546875" bestFit="1" customWidth="1"/>
    <col min="5" max="5" width="9.85546875" bestFit="1" customWidth="1"/>
    <col min="6" max="6" width="10.28515625" bestFit="1" customWidth="1"/>
    <col min="7" max="8" width="26.42578125" bestFit="1" customWidth="1"/>
    <col min="9" max="9" width="25.28515625" bestFit="1" customWidth="1"/>
    <col min="10" max="10" width="22.140625" bestFit="1" customWidth="1"/>
    <col min="11" max="11" width="10.28515625" bestFit="1" customWidth="1"/>
  </cols>
  <sheetData>
    <row r="1" spans="1:12" s="27" customFormat="1" ht="12.75" x14ac:dyDescent="0.2">
      <c r="A1" s="25" t="s">
        <v>74</v>
      </c>
      <c r="B1" s="25" t="s">
        <v>161</v>
      </c>
      <c r="C1" s="25" t="s">
        <v>162</v>
      </c>
      <c r="D1" s="25" t="s">
        <v>163</v>
      </c>
      <c r="E1" s="25" t="s">
        <v>164</v>
      </c>
      <c r="F1" s="28" t="s">
        <v>158</v>
      </c>
      <c r="G1" s="28" t="s">
        <v>165</v>
      </c>
      <c r="H1" s="28" t="s">
        <v>166</v>
      </c>
      <c r="I1" s="28" t="s">
        <v>167</v>
      </c>
      <c r="J1" s="28" t="s">
        <v>168</v>
      </c>
      <c r="K1" s="28" t="s">
        <v>169</v>
      </c>
      <c r="L1" s="29"/>
    </row>
    <row r="2" spans="1:12" s="27" customFormat="1" ht="12.75" x14ac:dyDescent="0.2">
      <c r="A2" s="27" t="s">
        <v>114</v>
      </c>
      <c r="B2" s="27" t="s">
        <v>170</v>
      </c>
      <c r="C2" s="30">
        <v>45992</v>
      </c>
      <c r="D2" s="27" t="s">
        <v>171</v>
      </c>
      <c r="E2" s="27" t="s">
        <v>172</v>
      </c>
      <c r="F2" s="29">
        <v>500</v>
      </c>
      <c r="G2" s="29">
        <v>0</v>
      </c>
      <c r="H2" s="29">
        <v>7.25</v>
      </c>
      <c r="I2" s="29">
        <v>0</v>
      </c>
      <c r="J2" s="29">
        <v>0</v>
      </c>
      <c r="K2" s="29">
        <f>SUM(F2:J2)</f>
        <v>507.25</v>
      </c>
      <c r="L2" s="29"/>
    </row>
    <row r="3" spans="1:12" s="27" customFormat="1" ht="12.75" x14ac:dyDescent="0.2">
      <c r="A3" s="27" t="s">
        <v>112</v>
      </c>
      <c r="B3" s="27" t="s">
        <v>170</v>
      </c>
      <c r="C3" s="30">
        <v>45992</v>
      </c>
      <c r="D3" s="27" t="s">
        <v>171</v>
      </c>
      <c r="E3" s="27" t="s">
        <v>172</v>
      </c>
      <c r="F3" s="29">
        <v>600</v>
      </c>
      <c r="G3" s="29">
        <v>36.25</v>
      </c>
      <c r="H3" s="29">
        <v>0</v>
      </c>
      <c r="I3" s="29">
        <v>0</v>
      </c>
      <c r="J3" s="29">
        <v>0</v>
      </c>
      <c r="K3" s="29">
        <f>SUM(F3:J3)</f>
        <v>636.25</v>
      </c>
      <c r="L3" s="29"/>
    </row>
    <row r="4" spans="1:12" s="27" customFormat="1" ht="12.75" x14ac:dyDescent="0.2">
      <c r="A4" s="27" t="s">
        <v>121</v>
      </c>
      <c r="B4" s="27" t="s">
        <v>173</v>
      </c>
      <c r="C4" s="30">
        <v>45992</v>
      </c>
      <c r="D4" s="27" t="s">
        <v>174</v>
      </c>
      <c r="E4" s="27" t="s">
        <v>175</v>
      </c>
      <c r="F4" s="29">
        <v>750</v>
      </c>
      <c r="G4" s="29">
        <v>0</v>
      </c>
      <c r="H4" s="29">
        <v>1.8</v>
      </c>
      <c r="I4" s="29">
        <v>0</v>
      </c>
      <c r="J4" s="29">
        <v>0</v>
      </c>
      <c r="K4" s="29">
        <f>SUM(F4:J4)</f>
        <v>751.8</v>
      </c>
      <c r="L4" s="29"/>
    </row>
    <row r="5" spans="1:12" s="27" customFormat="1" ht="12.75" x14ac:dyDescent="0.2">
      <c r="A5" s="27" t="s">
        <v>123</v>
      </c>
      <c r="B5" s="27" t="s">
        <v>173</v>
      </c>
      <c r="C5" s="30">
        <v>45992</v>
      </c>
      <c r="D5" s="27" t="s">
        <v>174</v>
      </c>
      <c r="E5" s="27" t="s">
        <v>175</v>
      </c>
      <c r="F5" s="29">
        <v>0</v>
      </c>
      <c r="G5" s="29">
        <v>0</v>
      </c>
      <c r="H5" s="29">
        <v>2.7</v>
      </c>
      <c r="I5" s="29">
        <v>0</v>
      </c>
      <c r="J5" s="29">
        <v>0</v>
      </c>
      <c r="K5" s="29">
        <v>32.700000000000003</v>
      </c>
      <c r="L5" s="29"/>
    </row>
    <row r="6" spans="1:12" s="27" customFormat="1" ht="12.75" x14ac:dyDescent="0.2">
      <c r="A6" s="31" t="s">
        <v>127</v>
      </c>
      <c r="B6" s="31" t="s">
        <v>170</v>
      </c>
      <c r="C6" s="30">
        <v>45992</v>
      </c>
      <c r="D6" s="31" t="s">
        <v>176</v>
      </c>
      <c r="E6" s="31" t="s">
        <v>177</v>
      </c>
      <c r="F6" s="32">
        <v>850</v>
      </c>
      <c r="G6" s="32">
        <v>0</v>
      </c>
      <c r="H6" s="32">
        <v>0</v>
      </c>
      <c r="I6" s="32">
        <v>50.7</v>
      </c>
      <c r="J6" s="32">
        <v>0</v>
      </c>
      <c r="K6" s="32">
        <f t="shared" ref="K6:K10" si="0">SUM(F6:J6)</f>
        <v>900.7</v>
      </c>
      <c r="L6" s="29"/>
    </row>
    <row r="7" spans="1:12" s="27" customFormat="1" ht="12.75" x14ac:dyDescent="0.2">
      <c r="A7" s="31" t="s">
        <v>152</v>
      </c>
      <c r="B7" s="31" t="s">
        <v>178</v>
      </c>
      <c r="C7" s="30">
        <v>45992</v>
      </c>
      <c r="D7" s="31" t="s">
        <v>176</v>
      </c>
      <c r="E7" s="31" t="s">
        <v>177</v>
      </c>
      <c r="F7" s="32">
        <v>320</v>
      </c>
      <c r="G7" s="32">
        <v>0</v>
      </c>
      <c r="H7" s="32">
        <v>0</v>
      </c>
      <c r="I7" s="32">
        <v>0</v>
      </c>
      <c r="J7" s="32">
        <v>0</v>
      </c>
      <c r="K7" s="32">
        <f t="shared" si="0"/>
        <v>320</v>
      </c>
      <c r="L7" s="29"/>
    </row>
    <row r="8" spans="1:12" s="27" customFormat="1" ht="12.75" x14ac:dyDescent="0.2">
      <c r="A8" s="31" t="s">
        <v>155</v>
      </c>
      <c r="B8" s="31" t="s">
        <v>179</v>
      </c>
      <c r="C8" s="30">
        <v>45992</v>
      </c>
      <c r="D8" s="31" t="s">
        <v>108</v>
      </c>
      <c r="E8" s="31" t="s">
        <v>180</v>
      </c>
      <c r="F8" s="33">
        <v>430</v>
      </c>
      <c r="G8" s="33">
        <v>4.5</v>
      </c>
      <c r="H8" s="33">
        <v>79</v>
      </c>
      <c r="I8" s="33">
        <v>0</v>
      </c>
      <c r="J8" s="33">
        <v>0</v>
      </c>
      <c r="K8" s="33">
        <f t="shared" si="0"/>
        <v>513.5</v>
      </c>
      <c r="L8" s="29"/>
    </row>
    <row r="9" spans="1:12" s="27" customFormat="1" ht="12.75" x14ac:dyDescent="0.2">
      <c r="A9" s="31" t="s">
        <v>181</v>
      </c>
      <c r="B9" s="31" t="s">
        <v>170</v>
      </c>
      <c r="C9" s="30">
        <v>45992</v>
      </c>
      <c r="D9" s="31" t="s">
        <v>108</v>
      </c>
      <c r="E9" s="31" t="s">
        <v>180</v>
      </c>
      <c r="F9" s="33">
        <v>166</v>
      </c>
      <c r="G9" s="33">
        <v>0</v>
      </c>
      <c r="H9" s="33">
        <v>0</v>
      </c>
      <c r="I9" s="33">
        <v>0</v>
      </c>
      <c r="J9" s="33">
        <v>0</v>
      </c>
      <c r="K9" s="33">
        <f t="shared" si="0"/>
        <v>166</v>
      </c>
      <c r="L9" s="29"/>
    </row>
    <row r="10" spans="1:12" s="27" customFormat="1" ht="12.75" x14ac:dyDescent="0.2">
      <c r="A10" s="31" t="s">
        <v>182</v>
      </c>
      <c r="B10" s="31" t="s">
        <v>178</v>
      </c>
      <c r="C10" s="30">
        <v>45992</v>
      </c>
      <c r="D10" s="31" t="s">
        <v>108</v>
      </c>
      <c r="E10" s="31" t="s">
        <v>180</v>
      </c>
      <c r="F10" s="33">
        <v>221</v>
      </c>
      <c r="G10" s="33">
        <v>0</v>
      </c>
      <c r="H10" s="33">
        <v>0</v>
      </c>
      <c r="I10" s="33">
        <v>0</v>
      </c>
      <c r="J10" s="33">
        <v>0</v>
      </c>
      <c r="K10" s="33">
        <f t="shared" si="0"/>
        <v>221</v>
      </c>
      <c r="L10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4E80-C014-4E48-8C14-36154730CBFE}">
  <dimension ref="A1:D24"/>
  <sheetViews>
    <sheetView workbookViewId="0">
      <selection activeCell="D35" sqref="D35"/>
    </sheetView>
  </sheetViews>
  <sheetFormatPr defaultRowHeight="15" x14ac:dyDescent="0.25"/>
  <cols>
    <col min="1" max="1" width="19.85546875" bestFit="1" customWidth="1"/>
    <col min="2" max="2" width="33.42578125" bestFit="1" customWidth="1"/>
    <col min="3" max="3" width="19" bestFit="1" customWidth="1"/>
    <col min="4" max="4" width="30.42578125" bestFit="1" customWidth="1"/>
  </cols>
  <sheetData>
    <row r="1" spans="1:4" x14ac:dyDescent="0.25">
      <c r="A1" t="s">
        <v>197</v>
      </c>
    </row>
    <row r="2" spans="1:4" x14ac:dyDescent="0.25">
      <c r="A2" s="44" t="s">
        <v>183</v>
      </c>
      <c r="B2" s="45"/>
      <c r="C2" s="46"/>
      <c r="D2" s="26"/>
    </row>
    <row r="3" spans="1:4" x14ac:dyDescent="0.25">
      <c r="A3" s="47" t="s">
        <v>184</v>
      </c>
      <c r="B3" s="48" t="s">
        <v>76</v>
      </c>
      <c r="C3" s="49" t="s">
        <v>185</v>
      </c>
      <c r="D3" s="49" t="s">
        <v>186</v>
      </c>
    </row>
    <row r="4" spans="1:4" x14ac:dyDescent="0.25">
      <c r="A4" s="50" t="s">
        <v>200</v>
      </c>
      <c r="B4" s="50" t="s">
        <v>199</v>
      </c>
      <c r="C4" s="51">
        <v>200</v>
      </c>
      <c r="D4" s="26"/>
    </row>
    <row r="5" spans="1:4" x14ac:dyDescent="0.25">
      <c r="A5" s="50" t="s">
        <v>202</v>
      </c>
      <c r="B5" s="50" t="s">
        <v>201</v>
      </c>
      <c r="C5" s="51">
        <v>100</v>
      </c>
      <c r="D5" s="26"/>
    </row>
    <row r="6" spans="1:4" x14ac:dyDescent="0.25">
      <c r="A6" s="50" t="s">
        <v>204</v>
      </c>
      <c r="B6" s="50" t="s">
        <v>203</v>
      </c>
      <c r="C6" s="51">
        <v>80</v>
      </c>
      <c r="D6" s="26"/>
    </row>
    <row r="7" spans="1:4" x14ac:dyDescent="0.25">
      <c r="A7" s="50" t="s">
        <v>205</v>
      </c>
      <c r="B7" s="50" t="s">
        <v>113</v>
      </c>
      <c r="C7" s="51">
        <v>50</v>
      </c>
      <c r="D7" s="26"/>
    </row>
    <row r="8" spans="1:4" x14ac:dyDescent="0.25">
      <c r="A8" s="52" t="s">
        <v>187</v>
      </c>
      <c r="B8" s="26"/>
      <c r="C8" s="53"/>
      <c r="D8" s="26"/>
    </row>
    <row r="9" spans="1:4" x14ac:dyDescent="0.25">
      <c r="A9" s="47" t="s">
        <v>184</v>
      </c>
      <c r="B9" s="48" t="s">
        <v>76</v>
      </c>
      <c r="C9" s="49" t="s">
        <v>185</v>
      </c>
      <c r="D9" s="49" t="s">
        <v>186</v>
      </c>
    </row>
    <row r="10" spans="1:4" x14ac:dyDescent="0.25">
      <c r="A10" s="50" t="s">
        <v>213</v>
      </c>
      <c r="B10" s="55" t="s">
        <v>212</v>
      </c>
      <c r="C10" s="51">
        <v>68</v>
      </c>
      <c r="D10" s="26"/>
    </row>
    <row r="11" spans="1:4" x14ac:dyDescent="0.25">
      <c r="A11" s="50" t="s">
        <v>215</v>
      </c>
      <c r="B11" s="55" t="s">
        <v>214</v>
      </c>
      <c r="C11" s="51">
        <v>45</v>
      </c>
      <c r="D11" s="26"/>
    </row>
    <row r="12" spans="1:4" x14ac:dyDescent="0.25">
      <c r="A12" s="50" t="s">
        <v>217</v>
      </c>
      <c r="B12" s="56" t="s">
        <v>216</v>
      </c>
      <c r="C12" s="51">
        <v>78</v>
      </c>
      <c r="D12" s="26"/>
    </row>
    <row r="13" spans="1:4" x14ac:dyDescent="0.25">
      <c r="A13" s="50" t="s">
        <v>189</v>
      </c>
      <c r="B13" s="56" t="s">
        <v>218</v>
      </c>
      <c r="C13" s="51">
        <v>108</v>
      </c>
      <c r="D13" s="26"/>
    </row>
    <row r="14" spans="1:4" x14ac:dyDescent="0.25">
      <c r="A14" s="52" t="s">
        <v>190</v>
      </c>
      <c r="B14" s="26"/>
      <c r="C14" s="53"/>
      <c r="D14" s="26"/>
    </row>
    <row r="15" spans="1:4" x14ac:dyDescent="0.25">
      <c r="A15" s="47" t="s">
        <v>184</v>
      </c>
      <c r="B15" s="48" t="s">
        <v>76</v>
      </c>
      <c r="C15" s="49" t="s">
        <v>185</v>
      </c>
      <c r="D15" s="49" t="s">
        <v>186</v>
      </c>
    </row>
    <row r="16" spans="1:4" x14ac:dyDescent="0.25">
      <c r="A16" s="50" t="s">
        <v>191</v>
      </c>
      <c r="B16" s="57" t="s">
        <v>206</v>
      </c>
      <c r="C16" s="51">
        <v>560</v>
      </c>
      <c r="D16" s="26"/>
    </row>
    <row r="17" spans="1:4" x14ac:dyDescent="0.25">
      <c r="A17" s="50" t="s">
        <v>192</v>
      </c>
      <c r="B17" s="57" t="s">
        <v>207</v>
      </c>
      <c r="C17" s="51">
        <v>630</v>
      </c>
      <c r="D17" s="26"/>
    </row>
    <row r="18" spans="1:4" x14ac:dyDescent="0.25">
      <c r="A18" s="50" t="s">
        <v>193</v>
      </c>
      <c r="B18" s="57" t="s">
        <v>208</v>
      </c>
      <c r="C18" s="51">
        <v>648</v>
      </c>
      <c r="D18" s="26" t="s">
        <v>194</v>
      </c>
    </row>
    <row r="19" spans="1:4" x14ac:dyDescent="0.25">
      <c r="A19" s="50" t="s">
        <v>195</v>
      </c>
      <c r="B19" s="57" t="s">
        <v>209</v>
      </c>
      <c r="C19" s="51">
        <v>804</v>
      </c>
      <c r="D19" s="26" t="s">
        <v>196</v>
      </c>
    </row>
    <row r="20" spans="1:4" x14ac:dyDescent="0.25">
      <c r="A20" s="52" t="s">
        <v>198</v>
      </c>
      <c r="B20" s="26"/>
      <c r="C20" s="53"/>
      <c r="D20" s="26"/>
    </row>
    <row r="21" spans="1:4" x14ac:dyDescent="0.25">
      <c r="A21" s="47" t="s">
        <v>184</v>
      </c>
      <c r="B21" s="48" t="s">
        <v>76</v>
      </c>
      <c r="C21" s="49" t="s">
        <v>185</v>
      </c>
      <c r="D21" s="49" t="s">
        <v>186</v>
      </c>
    </row>
    <row r="22" spans="1:4" x14ac:dyDescent="0.25">
      <c r="A22" s="50" t="s">
        <v>210</v>
      </c>
      <c r="B22" s="60" t="s">
        <v>211</v>
      </c>
      <c r="C22" s="51">
        <v>250</v>
      </c>
      <c r="D22" s="26"/>
    </row>
    <row r="23" spans="1:4" x14ac:dyDescent="0.25">
      <c r="A23" s="50" t="s">
        <v>246</v>
      </c>
      <c r="B23" s="60" t="s">
        <v>239</v>
      </c>
      <c r="C23" s="51">
        <v>450</v>
      </c>
      <c r="D23" s="26"/>
    </row>
    <row r="24" spans="1:4" x14ac:dyDescent="0.25">
      <c r="A24" s="50" t="s">
        <v>188</v>
      </c>
      <c r="B24" s="60" t="s">
        <v>235</v>
      </c>
      <c r="C24" s="51">
        <v>380</v>
      </c>
      <c r="D24" s="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60CB-2401-40AF-9240-BBE4130588F5}">
  <dimension ref="A1:D25"/>
  <sheetViews>
    <sheetView workbookViewId="0">
      <selection activeCell="B5" sqref="B5"/>
    </sheetView>
  </sheetViews>
  <sheetFormatPr defaultRowHeight="15" x14ac:dyDescent="0.25"/>
  <cols>
    <col min="1" max="1" width="26.28515625" bestFit="1" customWidth="1"/>
    <col min="2" max="2" width="37.28515625" bestFit="1" customWidth="1"/>
    <col min="3" max="3" width="19" bestFit="1" customWidth="1"/>
    <col min="4" max="4" width="30.42578125" bestFit="1" customWidth="1"/>
  </cols>
  <sheetData>
    <row r="1" spans="1:4" x14ac:dyDescent="0.25">
      <c r="A1" t="s">
        <v>221</v>
      </c>
    </row>
    <row r="2" spans="1:4" x14ac:dyDescent="0.25">
      <c r="A2" s="44" t="s">
        <v>183</v>
      </c>
      <c r="B2" s="45"/>
      <c r="C2" s="46"/>
      <c r="D2" s="58"/>
    </row>
    <row r="3" spans="1:4" x14ac:dyDescent="0.25">
      <c r="A3" s="47" t="s">
        <v>184</v>
      </c>
      <c r="B3" s="48" t="s">
        <v>76</v>
      </c>
      <c r="C3" s="49" t="s">
        <v>185</v>
      </c>
      <c r="D3" s="49" t="s">
        <v>186</v>
      </c>
    </row>
    <row r="4" spans="1:4" x14ac:dyDescent="0.25">
      <c r="A4" s="50" t="s">
        <v>245</v>
      </c>
      <c r="B4" s="50" t="s">
        <v>247</v>
      </c>
      <c r="C4" s="51">
        <v>200</v>
      </c>
      <c r="D4" s="58"/>
    </row>
    <row r="5" spans="1:4" x14ac:dyDescent="0.25">
      <c r="A5" s="50" t="s">
        <v>202</v>
      </c>
      <c r="B5" s="50" t="s">
        <v>244</v>
      </c>
      <c r="C5" s="51">
        <v>100</v>
      </c>
      <c r="D5" s="58"/>
    </row>
    <row r="6" spans="1:4" x14ac:dyDescent="0.25">
      <c r="A6" s="50" t="s">
        <v>204</v>
      </c>
      <c r="B6" s="50" t="s">
        <v>243</v>
      </c>
      <c r="C6" s="51">
        <v>80</v>
      </c>
      <c r="D6" s="58"/>
    </row>
    <row r="7" spans="1:4" x14ac:dyDescent="0.25">
      <c r="A7" s="50" t="s">
        <v>242</v>
      </c>
      <c r="B7" s="50" t="s">
        <v>241</v>
      </c>
      <c r="C7" s="51">
        <v>50</v>
      </c>
      <c r="D7" s="58"/>
    </row>
    <row r="8" spans="1:4" x14ac:dyDescent="0.25">
      <c r="A8" s="52" t="s">
        <v>187</v>
      </c>
      <c r="B8" s="58"/>
      <c r="C8" s="53"/>
      <c r="D8" s="58"/>
    </row>
    <row r="9" spans="1:4" x14ac:dyDescent="0.25">
      <c r="A9" s="47" t="s">
        <v>184</v>
      </c>
      <c r="B9" s="48" t="s">
        <v>76</v>
      </c>
      <c r="C9" s="49" t="s">
        <v>185</v>
      </c>
      <c r="D9" s="49" t="s">
        <v>186</v>
      </c>
    </row>
    <row r="10" spans="1:4" x14ac:dyDescent="0.25">
      <c r="A10" s="50" t="s">
        <v>240</v>
      </c>
      <c r="B10" s="60" t="s">
        <v>211</v>
      </c>
      <c r="C10" s="51">
        <v>55</v>
      </c>
      <c r="D10" s="58"/>
    </row>
    <row r="11" spans="1:4" x14ac:dyDescent="0.25">
      <c r="A11" s="50" t="s">
        <v>238</v>
      </c>
      <c r="B11" s="60" t="s">
        <v>239</v>
      </c>
      <c r="C11" s="51">
        <v>68</v>
      </c>
      <c r="D11" s="58"/>
    </row>
    <row r="12" spans="1:4" x14ac:dyDescent="0.25">
      <c r="A12" s="50" t="s">
        <v>236</v>
      </c>
      <c r="B12" s="60" t="s">
        <v>235</v>
      </c>
      <c r="C12" s="51">
        <v>98</v>
      </c>
      <c r="D12" s="58"/>
    </row>
    <row r="13" spans="1:4" x14ac:dyDescent="0.25">
      <c r="A13" s="50" t="s">
        <v>237</v>
      </c>
      <c r="B13" s="60" t="s">
        <v>126</v>
      </c>
      <c r="C13" s="51">
        <v>78</v>
      </c>
      <c r="D13" s="58"/>
    </row>
    <row r="14" spans="1:4" x14ac:dyDescent="0.25">
      <c r="A14" s="52" t="s">
        <v>190</v>
      </c>
      <c r="B14" s="58"/>
      <c r="C14" s="53"/>
      <c r="D14" s="58"/>
    </row>
    <row r="15" spans="1:4" x14ac:dyDescent="0.25">
      <c r="A15" s="47" t="s">
        <v>184</v>
      </c>
      <c r="B15" s="48" t="s">
        <v>76</v>
      </c>
      <c r="C15" s="49" t="s">
        <v>185</v>
      </c>
      <c r="D15" s="49" t="s">
        <v>186</v>
      </c>
    </row>
    <row r="16" spans="1:4" x14ac:dyDescent="0.25">
      <c r="A16" s="50" t="s">
        <v>191</v>
      </c>
      <c r="B16" s="60" t="s">
        <v>232</v>
      </c>
      <c r="C16" s="51">
        <v>0</v>
      </c>
      <c r="D16" s="58"/>
    </row>
    <row r="17" spans="1:4" x14ac:dyDescent="0.25">
      <c r="A17" s="50" t="s">
        <v>234</v>
      </c>
      <c r="B17" s="60" t="s">
        <v>233</v>
      </c>
      <c r="C17" s="51">
        <v>28</v>
      </c>
      <c r="D17" s="58"/>
    </row>
    <row r="18" spans="1:4" x14ac:dyDescent="0.25">
      <c r="A18" s="50" t="s">
        <v>230</v>
      </c>
      <c r="B18" s="60" t="s">
        <v>231</v>
      </c>
      <c r="C18" s="51">
        <v>38</v>
      </c>
      <c r="D18" s="58" t="s">
        <v>194</v>
      </c>
    </row>
    <row r="19" spans="1:4" x14ac:dyDescent="0.25">
      <c r="A19" s="50" t="s">
        <v>229</v>
      </c>
      <c r="B19" s="60" t="s">
        <v>157</v>
      </c>
      <c r="C19" s="51">
        <v>48</v>
      </c>
      <c r="D19" s="58" t="s">
        <v>196</v>
      </c>
    </row>
    <row r="20" spans="1:4" x14ac:dyDescent="0.25">
      <c r="A20" s="52" t="s">
        <v>198</v>
      </c>
      <c r="B20" s="58"/>
      <c r="C20" s="53"/>
      <c r="D20" s="58"/>
    </row>
    <row r="21" spans="1:4" x14ac:dyDescent="0.25">
      <c r="A21" s="47" t="s">
        <v>184</v>
      </c>
      <c r="B21" s="48" t="s">
        <v>76</v>
      </c>
      <c r="C21" s="49" t="s">
        <v>185</v>
      </c>
      <c r="D21" s="49" t="s">
        <v>186</v>
      </c>
    </row>
    <row r="22" spans="1:4" x14ac:dyDescent="0.25">
      <c r="A22" s="50" t="s">
        <v>210</v>
      </c>
      <c r="B22" s="64" t="s">
        <v>222</v>
      </c>
      <c r="C22" s="51">
        <v>118</v>
      </c>
      <c r="D22" s="58"/>
    </row>
    <row r="23" spans="1:4" x14ac:dyDescent="0.25">
      <c r="A23" s="50" t="s">
        <v>224</v>
      </c>
      <c r="B23" s="64" t="s">
        <v>223</v>
      </c>
      <c r="C23" s="51">
        <v>138</v>
      </c>
      <c r="D23" s="58"/>
    </row>
    <row r="24" spans="1:4" x14ac:dyDescent="0.25">
      <c r="A24" s="50" t="s">
        <v>226</v>
      </c>
      <c r="B24" s="64" t="s">
        <v>225</v>
      </c>
      <c r="C24" s="51">
        <v>148</v>
      </c>
      <c r="D24" s="58"/>
    </row>
    <row r="25" spans="1:4" x14ac:dyDescent="0.25">
      <c r="A25" t="s">
        <v>228</v>
      </c>
      <c r="B25" s="64" t="s">
        <v>227</v>
      </c>
      <c r="C25" s="63">
        <v>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5A26-2F56-4C06-939A-5F69953A2DEC}">
  <dimension ref="A2:C10"/>
  <sheetViews>
    <sheetView tabSelected="1" workbookViewId="0">
      <selection activeCell="A16" sqref="A16"/>
    </sheetView>
  </sheetViews>
  <sheetFormatPr defaultRowHeight="15" x14ac:dyDescent="0.25"/>
  <cols>
    <col min="1" max="1" width="47.5703125" bestFit="1" customWidth="1"/>
    <col min="2" max="2" width="11.7109375" bestFit="1" customWidth="1"/>
    <col min="3" max="3" width="157" bestFit="1" customWidth="1"/>
  </cols>
  <sheetData>
    <row r="2" spans="1:3" x14ac:dyDescent="0.25">
      <c r="A2" s="59" t="s">
        <v>76</v>
      </c>
      <c r="B2" s="29" t="s">
        <v>219</v>
      </c>
      <c r="C2" s="59" t="s">
        <v>220</v>
      </c>
    </row>
    <row r="3" spans="1:3" x14ac:dyDescent="0.25">
      <c r="A3" s="50" t="s">
        <v>199</v>
      </c>
      <c r="B3" s="54">
        <v>500</v>
      </c>
      <c r="C3" s="61" t="s">
        <v>248</v>
      </c>
    </row>
    <row r="4" spans="1:3" x14ac:dyDescent="0.25">
      <c r="A4" s="50" t="s">
        <v>201</v>
      </c>
      <c r="B4" s="54">
        <v>450</v>
      </c>
      <c r="C4" s="59" t="s">
        <v>251</v>
      </c>
    </row>
    <row r="5" spans="1:3" x14ac:dyDescent="0.25">
      <c r="A5" s="50" t="s">
        <v>203</v>
      </c>
      <c r="B5" s="54">
        <v>600</v>
      </c>
      <c r="C5" s="61" t="s">
        <v>249</v>
      </c>
    </row>
    <row r="6" spans="1:3" x14ac:dyDescent="0.25">
      <c r="A6" s="50" t="s">
        <v>113</v>
      </c>
      <c r="B6" s="54">
        <v>750</v>
      </c>
      <c r="C6" s="59" t="s">
        <v>250</v>
      </c>
    </row>
    <row r="7" spans="1:3" x14ac:dyDescent="0.25">
      <c r="A7" s="60" t="s">
        <v>212</v>
      </c>
      <c r="B7" s="62">
        <v>200</v>
      </c>
      <c r="C7" s="61" t="s">
        <v>252</v>
      </c>
    </row>
    <row r="8" spans="1:3" x14ac:dyDescent="0.25">
      <c r="A8" s="60" t="s">
        <v>214</v>
      </c>
      <c r="B8" s="62">
        <v>150</v>
      </c>
      <c r="C8" s="64" t="s">
        <v>253</v>
      </c>
    </row>
    <row r="9" spans="1:3" x14ac:dyDescent="0.25">
      <c r="A9" s="60" t="s">
        <v>216</v>
      </c>
      <c r="B9" s="62">
        <v>100</v>
      </c>
      <c r="C9" s="64" t="s">
        <v>254</v>
      </c>
    </row>
    <row r="10" spans="1:3" x14ac:dyDescent="0.25">
      <c r="A10" s="60" t="s">
        <v>218</v>
      </c>
      <c r="B10" s="62">
        <v>60</v>
      </c>
      <c r="C10" s="64" t="s">
        <v>255</v>
      </c>
    </row>
  </sheetData>
  <hyperlinks>
    <hyperlink ref="C3" r:id="rId1" display="mailto:serene.goh@cctvsurveyor.com" xr:uid="{A3A88270-B1B3-457D-9DE8-16EEDF743030}"/>
    <hyperlink ref="C5" r:id="rId2" xr:uid="{310516A6-7FAD-4BE7-8857-D62055F6C552}"/>
    <hyperlink ref="C7" r:id="rId3" xr:uid="{109CF7F0-DBC7-41F7-B6C8-858973854B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Detailed Full Report</vt:lpstr>
      <vt:lpstr>Stamp Duty</vt:lpstr>
      <vt:lpstr>Park Fee</vt:lpstr>
      <vt:lpstr>Late Fee</vt:lpstr>
      <vt:lpstr>Industry </vt:lpstr>
      <vt:lpstr>RM - User1</vt:lpstr>
      <vt:lpstr>RM - User2 </vt:lpstr>
      <vt:lpstr>Contact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Jacqueline</cp:lastModifiedBy>
  <dcterms:created xsi:type="dcterms:W3CDTF">2026-06-11T00:52:40Z</dcterms:created>
  <dcterms:modified xsi:type="dcterms:W3CDTF">2026-06-11T02:09:20Z</dcterms:modified>
</cp:coreProperties>
</file>